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ersonal\Traning\Scholarship\Githab\Upload করা হবে\finance-accounting-portfolio\finance-accounting-portfolio\Budget-Forecast\"/>
    </mc:Choice>
  </mc:AlternateContent>
  <xr:revisionPtr revIDLastSave="0" documentId="13_ncr:1_{DDBF6D6D-3C5A-4B83-8049-A8171E2681F0}" xr6:coauthVersionLast="47" xr6:coauthVersionMax="47" xr10:uidLastSave="{00000000-0000-0000-0000-000000000000}"/>
  <bookViews>
    <workbookView xWindow="-98" yWindow="-98" windowWidth="21795" windowHeight="12975" xr2:uid="{BB75E430-BD8F-4DEF-A7B3-B1796B93E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F40" i="1"/>
  <c r="S42" i="1"/>
  <c r="U42" i="1" s="1"/>
  <c r="F42" i="1"/>
  <c r="U35" i="1"/>
  <c r="P35" i="1"/>
  <c r="K35" i="1"/>
  <c r="F35" i="1"/>
  <c r="U34" i="1"/>
  <c r="P34" i="1"/>
  <c r="K34" i="1"/>
  <c r="F34" i="1"/>
  <c r="U33" i="1"/>
  <c r="U32" i="1" s="1"/>
  <c r="P33" i="1"/>
  <c r="K33" i="1"/>
  <c r="K32" i="1" s="1"/>
  <c r="F33" i="1"/>
  <c r="T32" i="1"/>
  <c r="S32" i="1"/>
  <c r="R32" i="1"/>
  <c r="O32" i="1"/>
  <c r="N32" i="1"/>
  <c r="M32" i="1"/>
  <c r="J32" i="1"/>
  <c r="I32" i="1"/>
  <c r="H32" i="1"/>
  <c r="E32" i="1"/>
  <c r="D32" i="1"/>
  <c r="C32" i="1"/>
  <c r="U30" i="1"/>
  <c r="P30" i="1"/>
  <c r="K30" i="1"/>
  <c r="F30" i="1"/>
  <c r="U29" i="1"/>
  <c r="P29" i="1"/>
  <c r="K29" i="1"/>
  <c r="F29" i="1"/>
  <c r="U28" i="1"/>
  <c r="P28" i="1"/>
  <c r="K28" i="1"/>
  <c r="F28" i="1"/>
  <c r="U27" i="1"/>
  <c r="P27" i="1"/>
  <c r="K27" i="1"/>
  <c r="F27" i="1"/>
  <c r="U26" i="1"/>
  <c r="P26" i="1"/>
  <c r="K26" i="1"/>
  <c r="F26" i="1"/>
  <c r="U25" i="1"/>
  <c r="P25" i="1"/>
  <c r="K25" i="1"/>
  <c r="F25" i="1"/>
  <c r="U24" i="1"/>
  <c r="P24" i="1"/>
  <c r="K24" i="1"/>
  <c r="F24" i="1"/>
  <c r="T23" i="1"/>
  <c r="T12" i="1" s="1"/>
  <c r="S23" i="1"/>
  <c r="R23" i="1"/>
  <c r="O23" i="1"/>
  <c r="N23" i="1"/>
  <c r="M23" i="1"/>
  <c r="J23" i="1"/>
  <c r="I23" i="1"/>
  <c r="H23" i="1"/>
  <c r="E23" i="1"/>
  <c r="D23" i="1"/>
  <c r="C23" i="1"/>
  <c r="F23" i="1" s="1"/>
  <c r="U21" i="1"/>
  <c r="P21" i="1"/>
  <c r="K21" i="1"/>
  <c r="F21" i="1"/>
  <c r="U20" i="1"/>
  <c r="P20" i="1"/>
  <c r="K20" i="1"/>
  <c r="F20" i="1"/>
  <c r="U19" i="1"/>
  <c r="P19" i="1"/>
  <c r="K19" i="1"/>
  <c r="F19" i="1"/>
  <c r="U18" i="1"/>
  <c r="P18" i="1"/>
  <c r="K18" i="1"/>
  <c r="F18" i="1"/>
  <c r="U17" i="1"/>
  <c r="P17" i="1"/>
  <c r="K17" i="1"/>
  <c r="F17" i="1"/>
  <c r="U16" i="1"/>
  <c r="P16" i="1"/>
  <c r="K16" i="1"/>
  <c r="F16" i="1"/>
  <c r="U15" i="1"/>
  <c r="P15" i="1"/>
  <c r="K15" i="1"/>
  <c r="F15" i="1"/>
  <c r="U14" i="1"/>
  <c r="P14" i="1"/>
  <c r="K14" i="1"/>
  <c r="F14" i="1"/>
  <c r="T13" i="1"/>
  <c r="S13" i="1"/>
  <c r="R13" i="1"/>
  <c r="O13" i="1"/>
  <c r="N13" i="1"/>
  <c r="M13" i="1"/>
  <c r="J13" i="1"/>
  <c r="I13" i="1"/>
  <c r="H13" i="1"/>
  <c r="H12" i="1" s="1"/>
  <c r="E13" i="1"/>
  <c r="D13" i="1"/>
  <c r="C13" i="1"/>
  <c r="U10" i="1"/>
  <c r="P10" i="1"/>
  <c r="K10" i="1"/>
  <c r="F10" i="1"/>
  <c r="U9" i="1"/>
  <c r="P9" i="1"/>
  <c r="K9" i="1"/>
  <c r="F9" i="1"/>
  <c r="U8" i="1"/>
  <c r="P8" i="1"/>
  <c r="K8" i="1"/>
  <c r="F8" i="1"/>
  <c r="R6" i="1"/>
  <c r="P7" i="1"/>
  <c r="K7" i="1"/>
  <c r="F7" i="1"/>
  <c r="F6" i="1" s="1"/>
  <c r="T6" i="1"/>
  <c r="S6" i="1"/>
  <c r="O6" i="1"/>
  <c r="N6" i="1"/>
  <c r="J6" i="1"/>
  <c r="I6" i="1"/>
  <c r="E6" i="1"/>
  <c r="D6" i="1"/>
  <c r="C6" i="1"/>
  <c r="U23" i="1" l="1"/>
  <c r="F32" i="1"/>
  <c r="T37" i="1"/>
  <c r="M12" i="1"/>
  <c r="K6" i="1"/>
  <c r="P6" i="1"/>
  <c r="P32" i="1"/>
  <c r="O12" i="1"/>
  <c r="O37" i="1" s="1"/>
  <c r="R12" i="1"/>
  <c r="R37" i="1" s="1"/>
  <c r="C12" i="1"/>
  <c r="E12" i="1"/>
  <c r="E37" i="1" s="1"/>
  <c r="E41" i="1" s="1"/>
  <c r="E43" i="1" s="1"/>
  <c r="J40" i="1" s="1"/>
  <c r="N12" i="1"/>
  <c r="N37" i="1" s="1"/>
  <c r="S12" i="1"/>
  <c r="J12" i="1"/>
  <c r="J37" i="1" s="1"/>
  <c r="K23" i="1"/>
  <c r="D12" i="1"/>
  <c r="D37" i="1" s="1"/>
  <c r="D41" i="1" s="1"/>
  <c r="D43" i="1" s="1"/>
  <c r="I40" i="1" s="1"/>
  <c r="U13" i="1"/>
  <c r="U12" i="1" s="1"/>
  <c r="P13" i="1"/>
  <c r="F13" i="1"/>
  <c r="F12" i="1" s="1"/>
  <c r="F37" i="1" s="1"/>
  <c r="F41" i="1" s="1"/>
  <c r="F43" i="1" s="1"/>
  <c r="K40" i="1" s="1"/>
  <c r="C37" i="1"/>
  <c r="C41" i="1" s="1"/>
  <c r="C43" i="1" s="1"/>
  <c r="H40" i="1" s="1"/>
  <c r="K13" i="1"/>
  <c r="H6" i="1"/>
  <c r="H37" i="1" s="1"/>
  <c r="S37" i="1"/>
  <c r="P23" i="1"/>
  <c r="I12" i="1"/>
  <c r="I37" i="1" s="1"/>
  <c r="M6" i="1"/>
  <c r="M37" i="1" s="1"/>
  <c r="U7" i="1"/>
  <c r="U6" i="1" s="1"/>
  <c r="P12" i="1" l="1"/>
  <c r="P37" i="1" s="1"/>
  <c r="J41" i="1"/>
  <c r="J43" i="1" s="1"/>
  <c r="O40" i="1" s="1"/>
  <c r="O41" i="1" s="1"/>
  <c r="O43" i="1" s="1"/>
  <c r="T40" i="1" s="1"/>
  <c r="T41" i="1" s="1"/>
  <c r="T43" i="1" s="1"/>
  <c r="K12" i="1"/>
  <c r="K37" i="1" s="1"/>
  <c r="K41" i="1" s="1"/>
  <c r="K43" i="1" s="1"/>
  <c r="P40" i="1" s="1"/>
  <c r="I41" i="1"/>
  <c r="I43" i="1" s="1"/>
  <c r="N40" i="1" s="1"/>
  <c r="N41" i="1" s="1"/>
  <c r="H41" i="1"/>
  <c r="H43" i="1" s="1"/>
  <c r="M40" i="1" s="1"/>
  <c r="M41" i="1" s="1"/>
  <c r="U37" i="1"/>
  <c r="P41" i="1" l="1"/>
  <c r="M43" i="1"/>
  <c r="R40" i="1" s="1"/>
  <c r="R41" i="1" s="1"/>
  <c r="R43" i="1" s="1"/>
  <c r="N43" i="1"/>
  <c r="S40" i="1" s="1"/>
  <c r="S41" i="1" s="1"/>
  <c r="S43" i="1" s="1"/>
  <c r="P42" i="1" l="1"/>
  <c r="P43" i="1" s="1"/>
  <c r="U40" i="1" s="1"/>
  <c r="U41" i="1" s="1"/>
  <c r="U43" i="1" s="1"/>
</calcChain>
</file>

<file path=xl/sharedStrings.xml><?xml version="1.0" encoding="utf-8"?>
<sst xmlns="http://schemas.openxmlformats.org/spreadsheetml/2006/main" count="55" uniqueCount="43">
  <si>
    <t>Cash Flow Forecast</t>
  </si>
  <si>
    <t>X Bank</t>
  </si>
  <si>
    <t>Y Bank</t>
  </si>
  <si>
    <t>Z Bank</t>
  </si>
  <si>
    <t>Total</t>
  </si>
  <si>
    <t>CASH INFLOWS</t>
  </si>
  <si>
    <t>Sales Collection</t>
  </si>
  <si>
    <t>Wrongly deposited by bank</t>
  </si>
  <si>
    <t>Capital / Non-operating receipt/Other refund</t>
  </si>
  <si>
    <t>Insurance refund / Other income</t>
  </si>
  <si>
    <t>CASH OUTFLOWS</t>
  </si>
  <si>
    <t>Operating Expenses</t>
  </si>
  <si>
    <t>Third Party Inventory/RM Purchases Payments</t>
  </si>
  <si>
    <t>Manufacturing Expenses</t>
  </si>
  <si>
    <t>General Operating and Administrative Expenses</t>
  </si>
  <si>
    <t>Salary and Wages</t>
  </si>
  <si>
    <t>Interest on bank loans</t>
  </si>
  <si>
    <t>Income Taxes</t>
  </si>
  <si>
    <t>VAT, customs Taxes and other indirect taxes</t>
  </si>
  <si>
    <t>REBATES and Credit Notes</t>
  </si>
  <si>
    <t>Inter company Payments due</t>
  </si>
  <si>
    <t>Non-Operating Payments</t>
  </si>
  <si>
    <t>Capital Expenditure</t>
  </si>
  <si>
    <t>Other Non Operating Payments</t>
  </si>
  <si>
    <t>Refund against wrong deposit</t>
  </si>
  <si>
    <t>Net monthly Inflow/(Outflow)</t>
  </si>
  <si>
    <t>Summary of Cash &amp; Debt Position</t>
  </si>
  <si>
    <t>Opening balance</t>
  </si>
  <si>
    <t>Balance before fund transfer</t>
  </si>
  <si>
    <t>Fund Transfer</t>
  </si>
  <si>
    <t>Closing balance</t>
  </si>
  <si>
    <t>Forecast -Aug'26</t>
  </si>
  <si>
    <t>Forecast -Jul'26</t>
  </si>
  <si>
    <t>Forecast -Jun'26</t>
  </si>
  <si>
    <t>Actual - May'26</t>
  </si>
  <si>
    <t>A</t>
  </si>
  <si>
    <t>B</t>
  </si>
  <si>
    <t>C</t>
  </si>
  <si>
    <t>D</t>
  </si>
  <si>
    <t>E</t>
  </si>
  <si>
    <t>F</t>
  </si>
  <si>
    <t>G</t>
  </si>
  <si>
    <t>All figures are fictional and for illustration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</si>
</sst>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3" fontId="8" fillId="0" borderId="2" xfId="1" applyNumberFormat="1" applyFont="1" applyFill="1" applyBorder="1"/>
    <xf numFmtId="3" fontId="8" fillId="0" borderId="3" xfId="1" applyNumberFormat="1" applyFont="1" applyFill="1" applyBorder="1"/>
    <xf numFmtId="3" fontId="8" fillId="0" borderId="4" xfId="1" applyNumberFormat="1" applyFont="1" applyFill="1" applyBorder="1"/>
    <xf numFmtId="3" fontId="2" fillId="0" borderId="2" xfId="1" applyNumberFormat="1" applyFont="1" applyFill="1" applyBorder="1"/>
    <xf numFmtId="164" fontId="3" fillId="0" borderId="0" xfId="0" applyNumberFormat="1" applyFont="1"/>
    <xf numFmtId="164" fontId="0" fillId="0" borderId="0" xfId="0" applyNumberFormat="1"/>
    <xf numFmtId="164" fontId="6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 vertical="center" wrapText="1"/>
    </xf>
    <xf numFmtId="164" fontId="10" fillId="0" borderId="1" xfId="0" applyNumberFormat="1" applyFont="1" applyBorder="1" applyAlignment="1">
      <alignment vertical="center"/>
    </xf>
    <xf numFmtId="164" fontId="0" fillId="0" borderId="1" xfId="0" applyNumberFormat="1" applyBorder="1"/>
    <xf numFmtId="164" fontId="11" fillId="0" borderId="1" xfId="0" applyNumberFormat="1" applyFont="1" applyBorder="1" applyAlignment="1">
      <alignment vertical="center"/>
    </xf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0" xfId="0" applyNumberFormat="1" applyFont="1" applyAlignment="1">
      <alignment vertical="center"/>
    </xf>
    <xf numFmtId="3" fontId="0" fillId="0" borderId="2" xfId="1" applyNumberFormat="1" applyFont="1" applyFill="1" applyBorder="1"/>
    <xf numFmtId="3" fontId="0" fillId="0" borderId="3" xfId="1" applyNumberFormat="1" applyFont="1" applyFill="1" applyBorder="1"/>
    <xf numFmtId="3" fontId="0" fillId="0" borderId="4" xfId="1" applyNumberFormat="1" applyFont="1" applyFill="1" applyBorder="1"/>
    <xf numFmtId="3" fontId="0" fillId="0" borderId="0" xfId="1" applyNumberFormat="1" applyFont="1" applyFill="1"/>
    <xf numFmtId="3" fontId="9" fillId="0" borderId="0" xfId="1" applyNumberFormat="1" applyFont="1" applyFill="1" applyBorder="1" applyAlignment="1" applyProtection="1">
      <alignment vertical="center"/>
    </xf>
    <xf numFmtId="3" fontId="7" fillId="0" borderId="0" xfId="1" applyNumberFormat="1" applyFont="1" applyFill="1"/>
    <xf numFmtId="3" fontId="2" fillId="0" borderId="0" xfId="1" applyNumberFormat="1" applyFont="1" applyFill="1"/>
    <xf numFmtId="3" fontId="8" fillId="0" borderId="2" xfId="0" applyNumberFormat="1" applyFont="1" applyBorder="1"/>
    <xf numFmtId="3" fontId="8" fillId="0" borderId="0" xfId="1" applyNumberFormat="1" applyFont="1" applyFill="1"/>
    <xf numFmtId="3" fontId="7" fillId="0" borderId="0" xfId="1" applyNumberFormat="1" applyFont="1" applyFill="1" applyBorder="1" applyAlignment="1" applyProtection="1">
      <alignment vertical="center"/>
    </xf>
    <xf numFmtId="3" fontId="0" fillId="0" borderId="1" xfId="1" applyNumberFormat="1" applyFont="1" applyFill="1" applyBorder="1"/>
    <xf numFmtId="3" fontId="8" fillId="0" borderId="1" xfId="1" applyNumberFormat="1" applyFont="1" applyFill="1" applyBorder="1"/>
    <xf numFmtId="3" fontId="2" fillId="0" borderId="1" xfId="1" applyNumberFormat="1" applyFont="1" applyFill="1" applyBorder="1"/>
    <xf numFmtId="164" fontId="12" fillId="0" borderId="0" xfId="0" applyNumberFormat="1" applyFont="1"/>
    <xf numFmtId="3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85E8-2AE4-4C49-B5F1-C0C3810EE902}">
  <sheetPr codeName="Sheet1"/>
  <dimension ref="B1:U43"/>
  <sheetViews>
    <sheetView tabSelected="1" topLeftCell="A21" workbookViewId="0">
      <selection activeCell="A42" sqref="A42"/>
    </sheetView>
  </sheetViews>
  <sheetFormatPr defaultRowHeight="14.25" x14ac:dyDescent="0.45"/>
  <cols>
    <col min="1" max="1" width="9.06640625" style="6"/>
    <col min="2" max="2" width="42.33203125" style="6" bestFit="1" customWidth="1"/>
    <col min="3" max="3" width="12.9296875" style="13" customWidth="1"/>
    <col min="4" max="5" width="12.59765625" style="13" customWidth="1"/>
    <col min="6" max="6" width="12.46484375" style="13" bestFit="1" customWidth="1"/>
    <col min="7" max="7" width="3.265625" style="13" customWidth="1"/>
    <col min="8" max="8" width="12.9296875" style="13" customWidth="1"/>
    <col min="9" max="9" width="12.59765625" style="13" customWidth="1"/>
    <col min="10" max="10" width="13.796875" style="13" bestFit="1" customWidth="1"/>
    <col min="11" max="11" width="12.9296875" style="13" bestFit="1" customWidth="1"/>
    <col min="12" max="12" width="3.59765625" style="13" customWidth="1"/>
    <col min="13" max="13" width="12.9296875" style="13" customWidth="1"/>
    <col min="14" max="15" width="12.59765625" style="13" customWidth="1"/>
    <col min="16" max="16" width="12.46484375" style="13" bestFit="1" customWidth="1"/>
    <col min="17" max="17" width="4" style="13" customWidth="1"/>
    <col min="18" max="18" width="12.9296875" style="13" customWidth="1"/>
    <col min="19" max="20" width="12.59765625" style="13" customWidth="1"/>
    <col min="21" max="21" width="12.46484375" style="13" bestFit="1" customWidth="1"/>
    <col min="22" max="16384" width="9.06640625" style="6"/>
  </cols>
  <sheetData>
    <row r="1" spans="2:21" ht="18" x14ac:dyDescent="0.55000000000000004">
      <c r="B1" s="5"/>
    </row>
    <row r="2" spans="2:21" ht="18" x14ac:dyDescent="0.55000000000000004">
      <c r="B2" s="5" t="s">
        <v>0</v>
      </c>
    </row>
    <row r="3" spans="2:21" x14ac:dyDescent="0.45">
      <c r="B3" s="30" t="s">
        <v>42</v>
      </c>
      <c r="C3" s="31" t="s">
        <v>34</v>
      </c>
      <c r="D3" s="31"/>
      <c r="E3" s="31"/>
      <c r="F3" s="31"/>
      <c r="H3" s="32" t="s">
        <v>33</v>
      </c>
      <c r="I3" s="32"/>
      <c r="J3" s="32"/>
      <c r="K3" s="32"/>
      <c r="M3" s="32" t="s">
        <v>32</v>
      </c>
      <c r="N3" s="32"/>
      <c r="O3" s="32"/>
      <c r="P3" s="32"/>
      <c r="R3" s="32" t="s">
        <v>31</v>
      </c>
      <c r="S3" s="32"/>
      <c r="T3" s="32"/>
      <c r="U3" s="32"/>
    </row>
    <row r="4" spans="2:21" x14ac:dyDescent="0.45">
      <c r="C4" s="14" t="s">
        <v>1</v>
      </c>
      <c r="D4" s="14" t="s">
        <v>2</v>
      </c>
      <c r="E4" s="14" t="s">
        <v>3</v>
      </c>
      <c r="F4" s="14" t="s">
        <v>4</v>
      </c>
      <c r="H4" s="14" t="s">
        <v>1</v>
      </c>
      <c r="I4" s="14" t="s">
        <v>2</v>
      </c>
      <c r="J4" s="14" t="s">
        <v>3</v>
      </c>
      <c r="K4" s="14" t="s">
        <v>4</v>
      </c>
      <c r="M4" s="14" t="s">
        <v>1</v>
      </c>
      <c r="N4" s="14" t="s">
        <v>2</v>
      </c>
      <c r="O4" s="14" t="s">
        <v>3</v>
      </c>
      <c r="P4" s="14" t="s">
        <v>4</v>
      </c>
      <c r="R4" s="14" t="s">
        <v>1</v>
      </c>
      <c r="S4" s="14" t="s">
        <v>2</v>
      </c>
      <c r="T4" s="14" t="s">
        <v>3</v>
      </c>
      <c r="U4" s="14" t="s">
        <v>4</v>
      </c>
    </row>
    <row r="5" spans="2:21" x14ac:dyDescent="0.45">
      <c r="C5" s="15"/>
      <c r="D5" s="15"/>
      <c r="E5" s="15"/>
      <c r="F5" s="15"/>
      <c r="H5" s="15"/>
      <c r="I5" s="15"/>
      <c r="J5" s="15"/>
      <c r="K5" s="15"/>
      <c r="M5" s="15"/>
      <c r="N5" s="15"/>
      <c r="O5" s="15"/>
      <c r="P5" s="15"/>
      <c r="R5" s="15"/>
      <c r="S5" s="15"/>
      <c r="T5" s="15"/>
      <c r="U5" s="15"/>
    </row>
    <row r="6" spans="2:21" x14ac:dyDescent="0.45">
      <c r="B6" s="7" t="s">
        <v>5</v>
      </c>
      <c r="C6" s="16">
        <f>SUM(C7:C10)</f>
        <v>90100</v>
      </c>
      <c r="D6" s="16">
        <f>SUM(D7:D10)</f>
        <v>0</v>
      </c>
      <c r="E6" s="16">
        <f>SUM(E7:E10)</f>
        <v>0</v>
      </c>
      <c r="F6" s="16">
        <f>SUM(F7:F10)</f>
        <v>90100</v>
      </c>
      <c r="H6" s="16">
        <f>SUM(H7:H10)</f>
        <v>90000.1</v>
      </c>
      <c r="I6" s="16">
        <f>SUM(I7:I10)</f>
        <v>0</v>
      </c>
      <c r="J6" s="16">
        <f>SUM(J7:J10)</f>
        <v>0</v>
      </c>
      <c r="K6" s="16">
        <f>SUM(K7:K10)</f>
        <v>90000.1</v>
      </c>
      <c r="M6" s="16">
        <f>SUM(M7:M10)</f>
        <v>90100</v>
      </c>
      <c r="N6" s="16">
        <f>SUM(N7:N10)</f>
        <v>0</v>
      </c>
      <c r="O6" s="16">
        <f>SUM(O7:O10)</f>
        <v>0</v>
      </c>
      <c r="P6" s="16">
        <f>SUM(P7:P10)</f>
        <v>90100</v>
      </c>
      <c r="R6" s="16">
        <f>SUM(R7:R10)</f>
        <v>90100</v>
      </c>
      <c r="S6" s="16">
        <f>SUM(S7:S10)</f>
        <v>0</v>
      </c>
      <c r="T6" s="16">
        <f>SUM(T7:T10)</f>
        <v>0</v>
      </c>
      <c r="U6" s="16">
        <f>SUM(U7:U10)</f>
        <v>90100</v>
      </c>
    </row>
    <row r="7" spans="2:21" x14ac:dyDescent="0.45">
      <c r="B7" s="6" t="s">
        <v>6</v>
      </c>
      <c r="C7" s="1">
        <v>90000</v>
      </c>
      <c r="D7" s="17"/>
      <c r="E7" s="17"/>
      <c r="F7" s="17">
        <f>C7+D7+E7</f>
        <v>90000</v>
      </c>
      <c r="H7" s="1">
        <v>90000</v>
      </c>
      <c r="I7" s="17"/>
      <c r="J7" s="17"/>
      <c r="K7" s="17">
        <f>H7+I7+J7</f>
        <v>90000</v>
      </c>
      <c r="M7" s="1">
        <v>90000</v>
      </c>
      <c r="N7" s="17"/>
      <c r="O7" s="17"/>
      <c r="P7" s="17">
        <f>M7+N7+O7</f>
        <v>90000</v>
      </c>
      <c r="R7" s="1">
        <v>90000</v>
      </c>
      <c r="S7" s="17"/>
      <c r="T7" s="17"/>
      <c r="U7" s="17">
        <f>R7+S7+T7</f>
        <v>90000</v>
      </c>
    </row>
    <row r="8" spans="2:21" x14ac:dyDescent="0.45">
      <c r="B8" s="6" t="s">
        <v>7</v>
      </c>
      <c r="C8" s="18"/>
      <c r="D8" s="18"/>
      <c r="E8" s="18"/>
      <c r="F8" s="18">
        <f t="shared" ref="F8:F10" si="0">C8+D8+E8</f>
        <v>0</v>
      </c>
      <c r="H8" s="18"/>
      <c r="I8" s="18"/>
      <c r="J8" s="18"/>
      <c r="K8" s="18">
        <f t="shared" ref="K8:K10" si="1">H8+I8+J8</f>
        <v>0</v>
      </c>
      <c r="M8" s="18"/>
      <c r="N8" s="18"/>
      <c r="O8" s="18"/>
      <c r="P8" s="18">
        <f t="shared" ref="P8:P10" si="2">M8+N8+O8</f>
        <v>0</v>
      </c>
      <c r="R8" s="18"/>
      <c r="S8" s="18"/>
      <c r="T8" s="18"/>
      <c r="U8" s="18">
        <f t="shared" ref="U8:U10" si="3">R8+S8+T8</f>
        <v>0</v>
      </c>
    </row>
    <row r="9" spans="2:21" x14ac:dyDescent="0.45">
      <c r="B9" s="6" t="s">
        <v>8</v>
      </c>
      <c r="C9" s="18"/>
      <c r="D9" s="18"/>
      <c r="E9" s="18"/>
      <c r="F9" s="18">
        <f t="shared" si="0"/>
        <v>0</v>
      </c>
      <c r="H9" s="18"/>
      <c r="I9" s="18"/>
      <c r="J9" s="18"/>
      <c r="K9" s="18">
        <f t="shared" si="1"/>
        <v>0</v>
      </c>
      <c r="M9" s="18"/>
      <c r="N9" s="18"/>
      <c r="O9" s="18"/>
      <c r="P9" s="18">
        <f t="shared" si="2"/>
        <v>0</v>
      </c>
      <c r="R9" s="18"/>
      <c r="S9" s="18"/>
      <c r="T9" s="18"/>
      <c r="U9" s="18">
        <f t="shared" si="3"/>
        <v>0</v>
      </c>
    </row>
    <row r="10" spans="2:21" x14ac:dyDescent="0.45">
      <c r="B10" s="6" t="s">
        <v>9</v>
      </c>
      <c r="C10" s="3">
        <v>100</v>
      </c>
      <c r="D10" s="19"/>
      <c r="E10" s="19"/>
      <c r="F10" s="19">
        <f t="shared" si="0"/>
        <v>100</v>
      </c>
      <c r="H10" s="3">
        <v>0.1</v>
      </c>
      <c r="I10" s="19"/>
      <c r="J10" s="19"/>
      <c r="K10" s="19">
        <f t="shared" si="1"/>
        <v>0.1</v>
      </c>
      <c r="M10" s="3">
        <v>100</v>
      </c>
      <c r="N10" s="19"/>
      <c r="O10" s="19"/>
      <c r="P10" s="19">
        <f t="shared" si="2"/>
        <v>100</v>
      </c>
      <c r="R10" s="3">
        <v>100</v>
      </c>
      <c r="S10" s="19"/>
      <c r="T10" s="19"/>
      <c r="U10" s="19">
        <f t="shared" si="3"/>
        <v>100</v>
      </c>
    </row>
    <row r="11" spans="2:21" x14ac:dyDescent="0.45">
      <c r="C11" s="20"/>
      <c r="D11" s="20"/>
      <c r="E11" s="20"/>
      <c r="F11" s="20"/>
      <c r="H11" s="20"/>
      <c r="I11" s="20"/>
      <c r="J11" s="20"/>
      <c r="K11" s="20"/>
      <c r="M11" s="20"/>
      <c r="N11" s="20"/>
      <c r="O11" s="20"/>
      <c r="P11" s="20"/>
      <c r="R11" s="20"/>
      <c r="S11" s="20"/>
      <c r="T11" s="20"/>
      <c r="U11" s="20"/>
    </row>
    <row r="12" spans="2:21" ht="16.5" x14ac:dyDescent="0.45">
      <c r="B12" s="7" t="s">
        <v>10</v>
      </c>
      <c r="C12" s="21">
        <f>C13+C23+C32</f>
        <v>17100</v>
      </c>
      <c r="D12" s="21">
        <f>D13+D23+D32</f>
        <v>4010</v>
      </c>
      <c r="E12" s="21">
        <f>E13+E23+E32</f>
        <v>10020</v>
      </c>
      <c r="F12" s="21">
        <f>F13+F23+F32</f>
        <v>31130</v>
      </c>
      <c r="H12" s="21">
        <f>H13+H23+H32</f>
        <v>15600</v>
      </c>
      <c r="I12" s="21">
        <f>I13+I23+I32</f>
        <v>8010</v>
      </c>
      <c r="J12" s="21">
        <f>J13+J23+J32</f>
        <v>150020</v>
      </c>
      <c r="K12" s="21">
        <f>K13+K23+K32</f>
        <v>173630</v>
      </c>
      <c r="M12" s="21">
        <f>M13+M23+M32</f>
        <v>15600</v>
      </c>
      <c r="N12" s="21">
        <f>N13+N23+N32</f>
        <v>10010</v>
      </c>
      <c r="O12" s="21">
        <f>O13+O23+O32</f>
        <v>20</v>
      </c>
      <c r="P12" s="21">
        <f>P13+P23+P32</f>
        <v>25630</v>
      </c>
      <c r="R12" s="21">
        <f>R13+R23+R32</f>
        <v>15600</v>
      </c>
      <c r="S12" s="21">
        <f>S13+S23+S32</f>
        <v>68060</v>
      </c>
      <c r="T12" s="21">
        <f>T13+T23+T32</f>
        <v>20</v>
      </c>
      <c r="U12" s="21">
        <f>U13+U23+U32</f>
        <v>83680</v>
      </c>
    </row>
    <row r="13" spans="2:21" x14ac:dyDescent="0.45">
      <c r="B13" s="7" t="s">
        <v>11</v>
      </c>
      <c r="C13" s="22">
        <f>SUM(C14:C21)</f>
        <v>16100</v>
      </c>
      <c r="D13" s="22">
        <f>SUM(D14:D21)</f>
        <v>10</v>
      </c>
      <c r="E13" s="22">
        <f>SUM(E14:E21)</f>
        <v>20</v>
      </c>
      <c r="F13" s="23">
        <f>SUM(F14:F21)</f>
        <v>16130</v>
      </c>
      <c r="H13" s="22">
        <f>SUM(H14:H21)</f>
        <v>15600</v>
      </c>
      <c r="I13" s="22">
        <f>SUM(I14:I21)</f>
        <v>10</v>
      </c>
      <c r="J13" s="22">
        <f>SUM(J14:J21)</f>
        <v>20</v>
      </c>
      <c r="K13" s="23">
        <f>SUM(K14:K21)</f>
        <v>15630</v>
      </c>
      <c r="M13" s="22">
        <f>SUM(M14:M21)</f>
        <v>15600</v>
      </c>
      <c r="N13" s="22">
        <f>SUM(N14:N21)</f>
        <v>10</v>
      </c>
      <c r="O13" s="22">
        <f>SUM(O14:O21)</f>
        <v>20</v>
      </c>
      <c r="P13" s="23">
        <f>SUM(P14:P21)</f>
        <v>15630</v>
      </c>
      <c r="R13" s="22">
        <f>SUM(R14:R21)</f>
        <v>15600</v>
      </c>
      <c r="S13" s="22">
        <f>SUM(S14:S21)</f>
        <v>10</v>
      </c>
      <c r="T13" s="22">
        <f>SUM(T14:T21)</f>
        <v>20</v>
      </c>
      <c r="U13" s="23">
        <f>SUM(U14:U21)</f>
        <v>15630</v>
      </c>
    </row>
    <row r="14" spans="2:21" x14ac:dyDescent="0.45">
      <c r="B14" s="8" t="s">
        <v>12</v>
      </c>
      <c r="C14" s="24">
        <v>800</v>
      </c>
      <c r="D14" s="24"/>
      <c r="E14" s="24"/>
      <c r="F14" s="17">
        <f>C14+D14+E14</f>
        <v>800</v>
      </c>
      <c r="H14" s="24">
        <v>800</v>
      </c>
      <c r="I14" s="24"/>
      <c r="J14" s="24"/>
      <c r="K14" s="17">
        <f>H14+I14+J14</f>
        <v>800</v>
      </c>
      <c r="M14" s="24">
        <v>800</v>
      </c>
      <c r="N14" s="1"/>
      <c r="O14" s="1"/>
      <c r="P14" s="17">
        <f>M14+N14+O14</f>
        <v>800</v>
      </c>
      <c r="R14" s="24">
        <v>800</v>
      </c>
      <c r="S14" s="1"/>
      <c r="T14" s="1"/>
      <c r="U14" s="17">
        <f>R14+S14+T14</f>
        <v>800</v>
      </c>
    </row>
    <row r="15" spans="2:21" x14ac:dyDescent="0.45">
      <c r="B15" s="8" t="s">
        <v>13</v>
      </c>
      <c r="C15" s="24">
        <v>800</v>
      </c>
      <c r="D15" s="2"/>
      <c r="E15" s="2"/>
      <c r="F15" s="18">
        <f t="shared" ref="F15:F21" si="4">C15+D15+E15</f>
        <v>800</v>
      </c>
      <c r="H15" s="2">
        <v>800</v>
      </c>
      <c r="I15" s="2"/>
      <c r="J15" s="2"/>
      <c r="K15" s="18">
        <f t="shared" ref="K15:K21" si="5">H15+I15+J15</f>
        <v>800</v>
      </c>
      <c r="M15" s="2">
        <v>800</v>
      </c>
      <c r="N15" s="2"/>
      <c r="O15" s="2"/>
      <c r="P15" s="18">
        <f t="shared" ref="P15:P21" si="6">M15+N15+O15</f>
        <v>800</v>
      </c>
      <c r="R15" s="2">
        <v>800</v>
      </c>
      <c r="S15" s="2"/>
      <c r="T15" s="2"/>
      <c r="U15" s="18">
        <f t="shared" ref="U15:U21" si="7">R15+S15+T15</f>
        <v>800</v>
      </c>
    </row>
    <row r="16" spans="2:21" x14ac:dyDescent="0.45">
      <c r="B16" s="8" t="s">
        <v>14</v>
      </c>
      <c r="C16" s="2">
        <v>4000</v>
      </c>
      <c r="D16" s="2">
        <v>10</v>
      </c>
      <c r="E16" s="2">
        <v>20</v>
      </c>
      <c r="F16" s="18">
        <f t="shared" si="4"/>
        <v>4030</v>
      </c>
      <c r="H16" s="2">
        <v>4000</v>
      </c>
      <c r="I16" s="2">
        <v>10</v>
      </c>
      <c r="J16" s="2">
        <v>20</v>
      </c>
      <c r="K16" s="18">
        <f t="shared" si="5"/>
        <v>4030</v>
      </c>
      <c r="M16" s="2">
        <v>4000</v>
      </c>
      <c r="N16" s="2">
        <v>10</v>
      </c>
      <c r="O16" s="2">
        <v>20</v>
      </c>
      <c r="P16" s="18">
        <f t="shared" si="6"/>
        <v>4030</v>
      </c>
      <c r="R16" s="2">
        <v>4000</v>
      </c>
      <c r="S16" s="2">
        <v>10</v>
      </c>
      <c r="T16" s="2">
        <v>20</v>
      </c>
      <c r="U16" s="18">
        <f t="shared" si="7"/>
        <v>4030</v>
      </c>
    </row>
    <row r="17" spans="2:21" x14ac:dyDescent="0.45">
      <c r="B17" s="8" t="s">
        <v>15</v>
      </c>
      <c r="C17" s="2">
        <v>2500</v>
      </c>
      <c r="D17" s="2"/>
      <c r="E17" s="2"/>
      <c r="F17" s="18">
        <f t="shared" si="4"/>
        <v>2500</v>
      </c>
      <c r="H17" s="2">
        <v>3000</v>
      </c>
      <c r="I17" s="2"/>
      <c r="J17" s="2"/>
      <c r="K17" s="18">
        <f t="shared" si="5"/>
        <v>3000</v>
      </c>
      <c r="M17" s="2">
        <v>3000</v>
      </c>
      <c r="N17" s="2"/>
      <c r="O17" s="2"/>
      <c r="P17" s="18">
        <f t="shared" si="6"/>
        <v>3000</v>
      </c>
      <c r="R17" s="2">
        <v>3000</v>
      </c>
      <c r="S17" s="2"/>
      <c r="T17" s="2"/>
      <c r="U17" s="18">
        <f t="shared" si="7"/>
        <v>3000</v>
      </c>
    </row>
    <row r="18" spans="2:21" x14ac:dyDescent="0.45">
      <c r="B18" s="8" t="s">
        <v>16</v>
      </c>
      <c r="C18" s="2">
        <v>0</v>
      </c>
      <c r="D18" s="2"/>
      <c r="E18" s="2"/>
      <c r="F18" s="18">
        <f t="shared" si="4"/>
        <v>0</v>
      </c>
      <c r="H18" s="2">
        <v>0</v>
      </c>
      <c r="I18" s="2"/>
      <c r="J18" s="2"/>
      <c r="K18" s="18">
        <f t="shared" si="5"/>
        <v>0</v>
      </c>
      <c r="M18" s="2">
        <v>0</v>
      </c>
      <c r="N18" s="2"/>
      <c r="O18" s="2"/>
      <c r="P18" s="18">
        <f t="shared" si="6"/>
        <v>0</v>
      </c>
      <c r="R18" s="2">
        <v>0</v>
      </c>
      <c r="S18" s="2"/>
      <c r="T18" s="2"/>
      <c r="U18" s="18">
        <f t="shared" si="7"/>
        <v>0</v>
      </c>
    </row>
    <row r="19" spans="2:21" x14ac:dyDescent="0.45">
      <c r="B19" s="8" t="s">
        <v>17</v>
      </c>
      <c r="C19" s="2">
        <v>3000</v>
      </c>
      <c r="D19" s="2"/>
      <c r="E19" s="2"/>
      <c r="F19" s="18">
        <f t="shared" si="4"/>
        <v>3000</v>
      </c>
      <c r="H19" s="2">
        <v>3000</v>
      </c>
      <c r="I19" s="2"/>
      <c r="J19" s="2"/>
      <c r="K19" s="18">
        <f t="shared" si="5"/>
        <v>3000</v>
      </c>
      <c r="M19" s="2">
        <v>3000</v>
      </c>
      <c r="N19" s="2"/>
      <c r="O19" s="2"/>
      <c r="P19" s="18">
        <f t="shared" si="6"/>
        <v>3000</v>
      </c>
      <c r="R19" s="2">
        <v>3000</v>
      </c>
      <c r="S19" s="2"/>
      <c r="T19" s="2"/>
      <c r="U19" s="18">
        <f t="shared" si="7"/>
        <v>3000</v>
      </c>
    </row>
    <row r="20" spans="2:21" x14ac:dyDescent="0.45">
      <c r="B20" s="8" t="s">
        <v>18</v>
      </c>
      <c r="C20" s="2">
        <v>4000</v>
      </c>
      <c r="D20" s="2"/>
      <c r="E20" s="2"/>
      <c r="F20" s="18">
        <f t="shared" si="4"/>
        <v>4000</v>
      </c>
      <c r="H20" s="2">
        <v>4000</v>
      </c>
      <c r="I20" s="2"/>
      <c r="J20" s="2"/>
      <c r="K20" s="18">
        <f t="shared" si="5"/>
        <v>4000</v>
      </c>
      <c r="M20" s="2">
        <v>4000</v>
      </c>
      <c r="N20" s="2"/>
      <c r="O20" s="2"/>
      <c r="P20" s="18">
        <f t="shared" si="6"/>
        <v>4000</v>
      </c>
      <c r="R20" s="2">
        <v>4000</v>
      </c>
      <c r="S20" s="2"/>
      <c r="T20" s="2"/>
      <c r="U20" s="18">
        <f t="shared" si="7"/>
        <v>4000</v>
      </c>
    </row>
    <row r="21" spans="2:21" x14ac:dyDescent="0.45">
      <c r="B21" s="8" t="s">
        <v>19</v>
      </c>
      <c r="C21" s="3">
        <v>1000</v>
      </c>
      <c r="D21" s="3"/>
      <c r="E21" s="3"/>
      <c r="F21" s="19">
        <f t="shared" si="4"/>
        <v>1000</v>
      </c>
      <c r="H21" s="3"/>
      <c r="I21" s="3"/>
      <c r="J21" s="3"/>
      <c r="K21" s="19">
        <f t="shared" si="5"/>
        <v>0</v>
      </c>
      <c r="M21" s="3"/>
      <c r="N21" s="3"/>
      <c r="O21" s="3"/>
      <c r="P21" s="19">
        <f t="shared" si="6"/>
        <v>0</v>
      </c>
      <c r="R21" s="3"/>
      <c r="S21" s="3"/>
      <c r="T21" s="3"/>
      <c r="U21" s="19">
        <f t="shared" si="7"/>
        <v>0</v>
      </c>
    </row>
    <row r="22" spans="2:21" x14ac:dyDescent="0.45">
      <c r="B22" s="8"/>
      <c r="C22" s="25"/>
      <c r="D22" s="25"/>
      <c r="E22" s="25"/>
      <c r="F22" s="20"/>
      <c r="H22" s="25"/>
      <c r="I22" s="25"/>
      <c r="J22" s="25"/>
      <c r="K22" s="20"/>
      <c r="M22" s="25"/>
      <c r="N22" s="25"/>
      <c r="O22" s="25"/>
      <c r="P22" s="20"/>
      <c r="R22" s="25"/>
      <c r="S22" s="25"/>
      <c r="T22" s="25"/>
      <c r="U22" s="20"/>
    </row>
    <row r="23" spans="2:21" x14ac:dyDescent="0.45">
      <c r="B23" s="7" t="s">
        <v>20</v>
      </c>
      <c r="C23" s="4">
        <f t="shared" ref="C23:E23" si="8">SUM(C24:C30)</f>
        <v>0</v>
      </c>
      <c r="D23" s="4">
        <f t="shared" si="8"/>
        <v>4000</v>
      </c>
      <c r="E23" s="4">
        <f t="shared" si="8"/>
        <v>0</v>
      </c>
      <c r="F23" s="4">
        <f>C23+D23+E23</f>
        <v>4000</v>
      </c>
      <c r="H23" s="4">
        <f t="shared" ref="H23:J23" si="9">SUM(H24:H30)</f>
        <v>0</v>
      </c>
      <c r="I23" s="4">
        <f t="shared" si="9"/>
        <v>8000</v>
      </c>
      <c r="J23" s="4">
        <f t="shared" si="9"/>
        <v>50000</v>
      </c>
      <c r="K23" s="4">
        <f>H23+I23+J23</f>
        <v>58000</v>
      </c>
      <c r="M23" s="4">
        <f t="shared" ref="M23:O23" si="10">SUM(M24:M30)</f>
        <v>0</v>
      </c>
      <c r="N23" s="4">
        <f t="shared" si="10"/>
        <v>10000</v>
      </c>
      <c r="O23" s="4">
        <f t="shared" si="10"/>
        <v>0</v>
      </c>
      <c r="P23" s="4">
        <f>M23+N23+O23</f>
        <v>10000</v>
      </c>
      <c r="R23" s="4">
        <f t="shared" ref="R23:T23" si="11">SUM(R24:R30)</f>
        <v>0</v>
      </c>
      <c r="S23" s="4">
        <f t="shared" si="11"/>
        <v>68050</v>
      </c>
      <c r="T23" s="4">
        <f t="shared" si="11"/>
        <v>0</v>
      </c>
      <c r="U23" s="4">
        <f>R23+S23+T23</f>
        <v>68050</v>
      </c>
    </row>
    <row r="24" spans="2:21" x14ac:dyDescent="0.45">
      <c r="B24" s="8" t="s">
        <v>35</v>
      </c>
      <c r="C24" s="1"/>
      <c r="D24" s="1"/>
      <c r="E24" s="1"/>
      <c r="F24" s="17">
        <f t="shared" ref="F24:F30" si="12">C24+D24+E24</f>
        <v>0</v>
      </c>
      <c r="H24" s="1"/>
      <c r="I24" s="1"/>
      <c r="J24" s="1"/>
      <c r="K24" s="17">
        <f t="shared" ref="K24:K30" si="13">H24+I24+J24</f>
        <v>0</v>
      </c>
      <c r="M24" s="1"/>
      <c r="N24" s="1"/>
      <c r="O24" s="1"/>
      <c r="P24" s="17">
        <f t="shared" ref="P24:P30" si="14">M24+N24+O24</f>
        <v>0</v>
      </c>
      <c r="R24" s="1"/>
      <c r="S24" s="1"/>
      <c r="T24" s="1"/>
      <c r="U24" s="17">
        <f t="shared" ref="U24:U30" si="15">R24+S24+T24</f>
        <v>0</v>
      </c>
    </row>
    <row r="25" spans="2:21" x14ac:dyDescent="0.45">
      <c r="B25" s="8" t="s">
        <v>36</v>
      </c>
      <c r="C25" s="2"/>
      <c r="D25" s="2"/>
      <c r="E25" s="2"/>
      <c r="F25" s="18">
        <f t="shared" si="12"/>
        <v>0</v>
      </c>
      <c r="H25" s="2"/>
      <c r="I25" s="2"/>
      <c r="J25" s="2"/>
      <c r="K25" s="18">
        <f t="shared" si="13"/>
        <v>0</v>
      </c>
      <c r="M25" s="2"/>
      <c r="N25" s="2"/>
      <c r="O25" s="2"/>
      <c r="P25" s="18">
        <f t="shared" si="14"/>
        <v>0</v>
      </c>
      <c r="R25" s="2"/>
      <c r="S25" s="2"/>
      <c r="T25" s="2"/>
      <c r="U25" s="18">
        <f t="shared" si="15"/>
        <v>0</v>
      </c>
    </row>
    <row r="26" spans="2:21" x14ac:dyDescent="0.45">
      <c r="B26" s="8" t="s">
        <v>37</v>
      </c>
      <c r="C26" s="2"/>
      <c r="D26" s="13">
        <v>4000</v>
      </c>
      <c r="E26" s="2"/>
      <c r="F26" s="18">
        <f t="shared" si="12"/>
        <v>4000</v>
      </c>
      <c r="H26" s="2"/>
      <c r="I26" s="13">
        <v>4000</v>
      </c>
      <c r="J26" s="13">
        <v>40000</v>
      </c>
      <c r="K26" s="18">
        <f t="shared" si="13"/>
        <v>44000</v>
      </c>
      <c r="M26" s="2"/>
      <c r="N26" s="13">
        <v>10000</v>
      </c>
      <c r="O26" s="2"/>
      <c r="P26" s="18">
        <f t="shared" si="14"/>
        <v>10000</v>
      </c>
      <c r="R26" s="2"/>
      <c r="S26" s="13">
        <v>60000</v>
      </c>
      <c r="T26" s="2"/>
      <c r="U26" s="18">
        <f t="shared" si="15"/>
        <v>60000</v>
      </c>
    </row>
    <row r="27" spans="2:21" x14ac:dyDescent="0.45">
      <c r="B27" s="8" t="s">
        <v>38</v>
      </c>
      <c r="C27" s="2"/>
      <c r="D27" s="2"/>
      <c r="E27" s="2"/>
      <c r="F27" s="18">
        <f t="shared" si="12"/>
        <v>0</v>
      </c>
      <c r="H27" s="2"/>
      <c r="I27" s="2"/>
      <c r="J27" s="2"/>
      <c r="K27" s="18">
        <f t="shared" si="13"/>
        <v>0</v>
      </c>
      <c r="M27" s="2"/>
      <c r="N27" s="2"/>
      <c r="O27" s="2"/>
      <c r="P27" s="18">
        <f t="shared" si="14"/>
        <v>0</v>
      </c>
      <c r="R27" s="2"/>
      <c r="S27" s="2"/>
      <c r="T27" s="2"/>
      <c r="U27" s="18">
        <f t="shared" si="15"/>
        <v>0</v>
      </c>
    </row>
    <row r="28" spans="2:21" x14ac:dyDescent="0.45">
      <c r="B28" s="8" t="s">
        <v>39</v>
      </c>
      <c r="C28" s="2"/>
      <c r="D28" s="2"/>
      <c r="E28" s="2"/>
      <c r="F28" s="18">
        <f t="shared" si="12"/>
        <v>0</v>
      </c>
      <c r="H28" s="2"/>
      <c r="I28" s="2"/>
      <c r="J28" s="2"/>
      <c r="K28" s="18">
        <f t="shared" si="13"/>
        <v>0</v>
      </c>
      <c r="M28" s="2"/>
      <c r="N28" s="2"/>
      <c r="O28" s="2"/>
      <c r="P28" s="18">
        <f t="shared" si="14"/>
        <v>0</v>
      </c>
      <c r="R28" s="2"/>
      <c r="S28" s="2"/>
      <c r="T28" s="2"/>
      <c r="U28" s="18">
        <f t="shared" si="15"/>
        <v>0</v>
      </c>
    </row>
    <row r="29" spans="2:21" x14ac:dyDescent="0.45">
      <c r="B29" s="8" t="s">
        <v>40</v>
      </c>
      <c r="C29" s="2"/>
      <c r="D29" s="2">
        <v>0</v>
      </c>
      <c r="E29" s="2"/>
      <c r="F29" s="18">
        <f t="shared" si="12"/>
        <v>0</v>
      </c>
      <c r="H29" s="2"/>
      <c r="I29" s="13">
        <v>4000</v>
      </c>
      <c r="J29" s="13">
        <v>10000</v>
      </c>
      <c r="K29" s="18">
        <f t="shared" si="13"/>
        <v>14000</v>
      </c>
      <c r="M29" s="2"/>
      <c r="N29" s="2">
        <v>0</v>
      </c>
      <c r="O29" s="2"/>
      <c r="P29" s="18">
        <f t="shared" si="14"/>
        <v>0</v>
      </c>
      <c r="R29" s="2"/>
      <c r="S29" s="13">
        <v>8050</v>
      </c>
      <c r="T29" s="2"/>
      <c r="U29" s="18">
        <f t="shared" si="15"/>
        <v>8050</v>
      </c>
    </row>
    <row r="30" spans="2:21" x14ac:dyDescent="0.45">
      <c r="B30" s="8" t="s">
        <v>41</v>
      </c>
      <c r="C30" s="3"/>
      <c r="D30" s="3"/>
      <c r="E30" s="3"/>
      <c r="F30" s="19">
        <f t="shared" si="12"/>
        <v>0</v>
      </c>
      <c r="H30" s="3"/>
      <c r="I30" s="3"/>
      <c r="J30" s="3"/>
      <c r="K30" s="19">
        <f t="shared" si="13"/>
        <v>0</v>
      </c>
      <c r="M30" s="3"/>
      <c r="N30" s="3"/>
      <c r="O30" s="3"/>
      <c r="P30" s="19">
        <f t="shared" si="14"/>
        <v>0</v>
      </c>
      <c r="R30" s="3"/>
      <c r="S30" s="3"/>
      <c r="T30" s="3"/>
      <c r="U30" s="19">
        <f t="shared" si="15"/>
        <v>0</v>
      </c>
    </row>
    <row r="31" spans="2:21" x14ac:dyDescent="0.45">
      <c r="C31" s="25"/>
      <c r="D31" s="25"/>
      <c r="E31" s="25"/>
      <c r="F31" s="20"/>
      <c r="H31" s="25"/>
      <c r="I31" s="25"/>
      <c r="J31" s="25"/>
      <c r="K31" s="20"/>
      <c r="M31" s="25"/>
      <c r="N31" s="25"/>
      <c r="O31" s="25"/>
      <c r="P31" s="20"/>
      <c r="R31" s="25"/>
      <c r="S31" s="25"/>
      <c r="T31" s="25"/>
      <c r="U31" s="20"/>
    </row>
    <row r="32" spans="2:21" x14ac:dyDescent="0.45">
      <c r="B32" s="7" t="s">
        <v>21</v>
      </c>
      <c r="C32" s="25">
        <f>SUM(C33:C35)</f>
        <v>1000</v>
      </c>
      <c r="D32" s="25">
        <f>SUM(D33:D35)</f>
        <v>0</v>
      </c>
      <c r="E32" s="25">
        <f>SUM(E33:E35)</f>
        <v>10000</v>
      </c>
      <c r="F32" s="20">
        <f>SUM(F33:F35)</f>
        <v>11000</v>
      </c>
      <c r="H32" s="25">
        <f>SUM(H33:H35)</f>
        <v>0</v>
      </c>
      <c r="I32" s="25">
        <f>SUM(I33:I35)</f>
        <v>0</v>
      </c>
      <c r="J32" s="25">
        <f>SUM(J33:J35)</f>
        <v>100000</v>
      </c>
      <c r="K32" s="20">
        <f>SUM(K33:K35)</f>
        <v>100000</v>
      </c>
      <c r="M32" s="25">
        <f>SUM(M33:M35)</f>
        <v>0</v>
      </c>
      <c r="N32" s="25">
        <f>SUM(N33:N35)</f>
        <v>0</v>
      </c>
      <c r="O32" s="25">
        <f>SUM(O33:O35)</f>
        <v>0</v>
      </c>
      <c r="P32" s="20">
        <f>SUM(P33:P35)</f>
        <v>0</v>
      </c>
      <c r="R32" s="25">
        <f>SUM(R33:R35)</f>
        <v>0</v>
      </c>
      <c r="S32" s="25">
        <f>SUM(S33:S35)</f>
        <v>0</v>
      </c>
      <c r="T32" s="25">
        <f>SUM(T33:T35)</f>
        <v>0</v>
      </c>
      <c r="U32" s="20">
        <f>SUM(U33:U35)</f>
        <v>0</v>
      </c>
    </row>
    <row r="33" spans="2:21" x14ac:dyDescent="0.45">
      <c r="B33" s="8" t="s">
        <v>22</v>
      </c>
      <c r="C33" s="1">
        <v>1000</v>
      </c>
      <c r="D33" s="1"/>
      <c r="E33" s="1"/>
      <c r="F33" s="1">
        <f>C33+D33+E33</f>
        <v>1000</v>
      </c>
      <c r="H33" s="1"/>
      <c r="I33" s="1"/>
      <c r="J33" s="1"/>
      <c r="K33" s="17">
        <f>H33+I33+J33</f>
        <v>0</v>
      </c>
      <c r="M33" s="1"/>
      <c r="N33" s="1"/>
      <c r="O33" s="1"/>
      <c r="P33" s="17">
        <f>M33+N33+O33</f>
        <v>0</v>
      </c>
      <c r="R33" s="1"/>
      <c r="S33" s="1"/>
      <c r="T33" s="1"/>
      <c r="U33" s="17">
        <f>R33+S33+T33</f>
        <v>0</v>
      </c>
    </row>
    <row r="34" spans="2:21" x14ac:dyDescent="0.45">
      <c r="B34" s="8" t="s">
        <v>23</v>
      </c>
      <c r="C34" s="2"/>
      <c r="D34" s="2"/>
      <c r="E34" s="2">
        <v>10000</v>
      </c>
      <c r="F34" s="2">
        <f t="shared" ref="F34:F35" si="16">C34+D34+E34</f>
        <v>10000</v>
      </c>
      <c r="H34" s="2"/>
      <c r="I34" s="2"/>
      <c r="J34" s="13">
        <v>100000</v>
      </c>
      <c r="K34" s="18">
        <f t="shared" ref="K34:K35" si="17">H34+I34+J34</f>
        <v>100000</v>
      </c>
      <c r="M34" s="2"/>
      <c r="N34" s="2"/>
      <c r="O34" s="2"/>
      <c r="P34" s="18">
        <f t="shared" ref="P34:P35" si="18">M34+N34+O34</f>
        <v>0</v>
      </c>
      <c r="R34" s="2"/>
      <c r="S34" s="2"/>
      <c r="T34" s="2"/>
      <c r="U34" s="18">
        <f t="shared" ref="U34:U35" si="19">R34+S34+T34</f>
        <v>0</v>
      </c>
    </row>
    <row r="35" spans="2:21" x14ac:dyDescent="0.45">
      <c r="B35" s="8" t="s">
        <v>24</v>
      </c>
      <c r="C35" s="19">
        <v>0</v>
      </c>
      <c r="D35" s="19"/>
      <c r="E35" s="19"/>
      <c r="F35" s="19">
        <f t="shared" si="16"/>
        <v>0</v>
      </c>
      <c r="H35" s="19">
        <v>0</v>
      </c>
      <c r="I35" s="19"/>
      <c r="J35" s="19"/>
      <c r="K35" s="19">
        <f t="shared" si="17"/>
        <v>0</v>
      </c>
      <c r="M35" s="19">
        <v>0</v>
      </c>
      <c r="N35" s="19"/>
      <c r="O35" s="19"/>
      <c r="P35" s="19">
        <f t="shared" si="18"/>
        <v>0</v>
      </c>
      <c r="R35" s="19">
        <v>0</v>
      </c>
      <c r="S35" s="19"/>
      <c r="T35" s="19"/>
      <c r="U35" s="19">
        <f t="shared" si="19"/>
        <v>0</v>
      </c>
    </row>
    <row r="36" spans="2:21" x14ac:dyDescent="0.45">
      <c r="C36" s="20"/>
      <c r="D36" s="20"/>
      <c r="E36" s="20"/>
      <c r="F36" s="20"/>
      <c r="H36" s="20"/>
      <c r="I36" s="20"/>
      <c r="J36" s="20"/>
      <c r="K36" s="20"/>
      <c r="M36" s="20"/>
      <c r="N36" s="20"/>
      <c r="O36" s="20"/>
      <c r="P36" s="20"/>
      <c r="R36" s="20"/>
      <c r="S36" s="20"/>
      <c r="T36" s="20"/>
      <c r="U36" s="20"/>
    </row>
    <row r="37" spans="2:21" x14ac:dyDescent="0.45">
      <c r="B37" s="7" t="s">
        <v>25</v>
      </c>
      <c r="C37" s="26">
        <f>C6-C12</f>
        <v>73000</v>
      </c>
      <c r="D37" s="26">
        <f>D6-D12</f>
        <v>-4010</v>
      </c>
      <c r="E37" s="26">
        <f>E6-E12</f>
        <v>-10020</v>
      </c>
      <c r="F37" s="26">
        <f>F6-F12</f>
        <v>58970</v>
      </c>
      <c r="H37" s="26">
        <f>H6-H12</f>
        <v>74400.100000000006</v>
      </c>
      <c r="I37" s="26">
        <f>I6-I12</f>
        <v>-8010</v>
      </c>
      <c r="J37" s="26">
        <f>J6-J12</f>
        <v>-150020</v>
      </c>
      <c r="K37" s="26">
        <f>K6-K12</f>
        <v>-83629.899999999994</v>
      </c>
      <c r="M37" s="26">
        <f>M6-M12</f>
        <v>74500</v>
      </c>
      <c r="N37" s="26">
        <f>N6-N12</f>
        <v>-10010</v>
      </c>
      <c r="O37" s="26">
        <f>O6-O12</f>
        <v>-20</v>
      </c>
      <c r="P37" s="26">
        <f>P6-P12</f>
        <v>64470</v>
      </c>
      <c r="R37" s="26">
        <f>R6-R12</f>
        <v>74500</v>
      </c>
      <c r="S37" s="26">
        <f>S6-S12</f>
        <v>-68060</v>
      </c>
      <c r="T37" s="26">
        <f>T6-T12</f>
        <v>-20</v>
      </c>
      <c r="U37" s="26">
        <f>U6-U12</f>
        <v>6420</v>
      </c>
    </row>
    <row r="38" spans="2:21" x14ac:dyDescent="0.45">
      <c r="C38" s="20"/>
      <c r="D38" s="20"/>
      <c r="E38" s="20"/>
      <c r="F38" s="20"/>
      <c r="H38" s="20"/>
      <c r="I38" s="20"/>
      <c r="J38" s="20"/>
      <c r="K38" s="20"/>
      <c r="M38" s="20"/>
      <c r="N38" s="20"/>
      <c r="O38" s="20"/>
      <c r="P38" s="20"/>
      <c r="R38" s="20"/>
      <c r="S38" s="20"/>
      <c r="T38" s="20"/>
      <c r="U38" s="20"/>
    </row>
    <row r="39" spans="2:21" x14ac:dyDescent="0.45">
      <c r="B39" s="9" t="s">
        <v>26</v>
      </c>
      <c r="C39" s="20"/>
      <c r="D39" s="20"/>
      <c r="E39" s="20"/>
      <c r="F39" s="20"/>
      <c r="H39" s="20"/>
      <c r="I39" s="20"/>
      <c r="J39" s="20"/>
      <c r="K39" s="20"/>
      <c r="M39" s="20"/>
      <c r="N39" s="20"/>
      <c r="O39" s="20"/>
      <c r="P39" s="20"/>
      <c r="R39" s="20"/>
      <c r="S39" s="20"/>
      <c r="T39" s="20"/>
      <c r="U39" s="20"/>
    </row>
    <row r="40" spans="2:21" x14ac:dyDescent="0.45">
      <c r="B40" s="10" t="s">
        <v>27</v>
      </c>
      <c r="C40" s="27">
        <v>120000</v>
      </c>
      <c r="D40" s="27">
        <v>9000</v>
      </c>
      <c r="E40" s="27">
        <v>50000</v>
      </c>
      <c r="F40" s="27">
        <f>SUM(C40:E40)</f>
        <v>179000</v>
      </c>
      <c r="H40" s="27">
        <f>C43</f>
        <v>173000</v>
      </c>
      <c r="I40" s="27">
        <f>D43</f>
        <v>4990</v>
      </c>
      <c r="J40" s="27">
        <f>E43</f>
        <v>59980</v>
      </c>
      <c r="K40" s="27">
        <f>F43</f>
        <v>237970</v>
      </c>
      <c r="M40" s="27">
        <f>H43</f>
        <v>47400.100000000006</v>
      </c>
      <c r="N40" s="27">
        <f>I43</f>
        <v>46980</v>
      </c>
      <c r="O40" s="27">
        <f>J43</f>
        <v>59960</v>
      </c>
      <c r="P40" s="27">
        <f>K43</f>
        <v>154340.1</v>
      </c>
      <c r="R40" s="27">
        <f>M43</f>
        <v>21900.100000000006</v>
      </c>
      <c r="S40" s="27">
        <f>N43</f>
        <v>36970</v>
      </c>
      <c r="T40" s="27">
        <f>O43</f>
        <v>159940</v>
      </c>
      <c r="U40" s="27">
        <f>P43</f>
        <v>218810.1</v>
      </c>
    </row>
    <row r="41" spans="2:21" x14ac:dyDescent="0.45">
      <c r="B41" s="10" t="s">
        <v>28</v>
      </c>
      <c r="C41" s="27">
        <f>C37+C40</f>
        <v>193000</v>
      </c>
      <c r="D41" s="27">
        <f>D37+D40</f>
        <v>4990</v>
      </c>
      <c r="E41" s="27">
        <f>E37+E40</f>
        <v>39980</v>
      </c>
      <c r="F41" s="27">
        <f>F37+F40</f>
        <v>237970</v>
      </c>
      <c r="H41" s="27">
        <f>H37+H40</f>
        <v>247400.1</v>
      </c>
      <c r="I41" s="27">
        <f>I37+I40</f>
        <v>-3020</v>
      </c>
      <c r="J41" s="27">
        <f>J37+J40</f>
        <v>-90040</v>
      </c>
      <c r="K41" s="27">
        <f>K37+K40</f>
        <v>154340.1</v>
      </c>
      <c r="M41" s="27">
        <f>M37+M40</f>
        <v>121900.1</v>
      </c>
      <c r="N41" s="27">
        <f>N37+N40</f>
        <v>36970</v>
      </c>
      <c r="O41" s="27">
        <f>O37+O40</f>
        <v>59940</v>
      </c>
      <c r="P41" s="27">
        <f>P37+P40</f>
        <v>218810.1</v>
      </c>
      <c r="R41" s="27">
        <f>R37+R40</f>
        <v>96400.1</v>
      </c>
      <c r="S41" s="27">
        <f>S37+S40</f>
        <v>-31090</v>
      </c>
      <c r="T41" s="27">
        <f>T37+T40</f>
        <v>159920</v>
      </c>
      <c r="U41" s="27">
        <f>U37+U40</f>
        <v>225230.1</v>
      </c>
    </row>
    <row r="42" spans="2:21" x14ac:dyDescent="0.45">
      <c r="B42" s="11" t="s">
        <v>29</v>
      </c>
      <c r="C42" s="13">
        <v>-20000</v>
      </c>
      <c r="D42" s="28">
        <v>0</v>
      </c>
      <c r="E42" s="13">
        <v>20000</v>
      </c>
      <c r="F42" s="27">
        <f>C42+D42+E42</f>
        <v>0</v>
      </c>
      <c r="H42" s="27">
        <v>-200000</v>
      </c>
      <c r="I42" s="27">
        <v>50000</v>
      </c>
      <c r="J42" s="27">
        <v>150000</v>
      </c>
      <c r="K42" s="27">
        <f>H42+I42+J42</f>
        <v>0</v>
      </c>
      <c r="M42" s="28">
        <v>-100000</v>
      </c>
      <c r="N42" s="28"/>
      <c r="O42" s="28">
        <v>100000</v>
      </c>
      <c r="P42" s="27">
        <f>M42+N42+O42</f>
        <v>0</v>
      </c>
      <c r="R42" s="27">
        <v>-80000</v>
      </c>
      <c r="S42" s="27">
        <f>-R42</f>
        <v>80000</v>
      </c>
      <c r="T42" s="27"/>
      <c r="U42" s="27">
        <f>R42+S42+T42</f>
        <v>0</v>
      </c>
    </row>
    <row r="43" spans="2:21" x14ac:dyDescent="0.45">
      <c r="B43" s="12" t="s">
        <v>30</v>
      </c>
      <c r="C43" s="29">
        <f>C41+C42</f>
        <v>173000</v>
      </c>
      <c r="D43" s="29">
        <f>D41+D42</f>
        <v>4990</v>
      </c>
      <c r="E43" s="29">
        <f>E41+E42</f>
        <v>59980</v>
      </c>
      <c r="F43" s="29">
        <f>F41+F42</f>
        <v>237970</v>
      </c>
      <c r="H43" s="29">
        <f>H41+H42</f>
        <v>47400.100000000006</v>
      </c>
      <c r="I43" s="29">
        <f>I41+I42</f>
        <v>46980</v>
      </c>
      <c r="J43" s="29">
        <f>J41+J42</f>
        <v>59960</v>
      </c>
      <c r="K43" s="29">
        <f>K41+K42</f>
        <v>154340.1</v>
      </c>
      <c r="M43" s="29">
        <f>M41+M42</f>
        <v>21900.100000000006</v>
      </c>
      <c r="N43" s="29">
        <f>N41+N42</f>
        <v>36970</v>
      </c>
      <c r="O43" s="29">
        <f>O41+O42</f>
        <v>159940</v>
      </c>
      <c r="P43" s="29">
        <f>P41+P42</f>
        <v>218810.1</v>
      </c>
      <c r="R43" s="29">
        <f>R41+R42</f>
        <v>16400.100000000006</v>
      </c>
      <c r="S43" s="29">
        <f>S41+S42</f>
        <v>48910</v>
      </c>
      <c r="T43" s="29">
        <f>T41+T42</f>
        <v>159920</v>
      </c>
      <c r="U43" s="29">
        <f>U41+U42</f>
        <v>225230.1</v>
      </c>
    </row>
  </sheetData>
  <mergeCells count="4">
    <mergeCell ref="C3:F3"/>
    <mergeCell ref="H3:K3"/>
    <mergeCell ref="M3:P3"/>
    <mergeCell ref="R3:U3"/>
  </mergeCells>
  <dataValidations count="1">
    <dataValidation type="decimal" allowBlank="1" showInputMessage="1" showErrorMessage="1" sqref="D12:F12 C11:C12 I12:K12 H11:H12 N12:P12 M11:M12 S12:U12 C8:C9 H8:H9 M8:M9 R8:R9 R11:R12" xr:uid="{0A6BF8CA-79E0-4E94-BB42-62DCEC7C34F3}">
      <formula1>0</formula1>
      <formula2>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2026-10-06T18:32:21Z</dcterms:created>
  <dcterms:modified xsi:type="dcterms:W3CDTF">2026-10-07T06:23:39Z</dcterms:modified>
</cp:coreProperties>
</file>