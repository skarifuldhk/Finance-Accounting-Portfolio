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Traning\Scholarship\Githab\Upload করা হবে\finance-accounting-portfolio\finance-accounting-portfolio\IFRS-16-Lease-Accounting\"/>
    </mc:Choice>
  </mc:AlternateContent>
  <xr:revisionPtr revIDLastSave="0" documentId="13_ncr:1_{2CA92150-EEAF-48FC-A8AC-20AD0D2A8FA5}" xr6:coauthVersionLast="47" xr6:coauthVersionMax="47" xr10:uidLastSave="{00000000-0000-0000-0000-000000000000}"/>
  <bookViews>
    <workbookView xWindow="-98" yWindow="-98" windowWidth="21795" windowHeight="12975" xr2:uid="{29D1160A-1D7F-4EEB-9C3F-479D7E9AD643}"/>
  </bookViews>
  <sheets>
    <sheet name="ReadMe" sheetId="2" r:id="rId1"/>
    <sheet name="LeaseCalculation" sheetId="1" r:id="rId2"/>
    <sheet name="PortfolioNotes" sheetId="3" r:id="rId3"/>
  </sheets>
  <definedNames>
    <definedName name="\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>#REF!</definedName>
    <definedName name="\s">#REF!</definedName>
    <definedName name="\T">#REF!</definedName>
    <definedName name="\x">#N/A</definedName>
    <definedName name="\z">#N/A</definedName>
    <definedName name="_\0">#REF!</definedName>
    <definedName name="______________SCH4">#REF!</definedName>
    <definedName name="_____________SCH4">#REF!</definedName>
    <definedName name="____________SCH4">#REF!</definedName>
    <definedName name="___________SCH4">#REF!</definedName>
    <definedName name="__________SCH4">#REF!</definedName>
    <definedName name="_________DAT1">#REF!</definedName>
    <definedName name="_________DAT11">#REF!</definedName>
    <definedName name="_________DAT2">#REF!</definedName>
    <definedName name="_________DAT4">#REF!</definedName>
    <definedName name="_________DAT5">#REF!</definedName>
    <definedName name="_________DAT6">#REF!</definedName>
    <definedName name="_________SCH4">#REF!</definedName>
    <definedName name="________DAT3">#REF!</definedName>
    <definedName name="________SCH4">#REF!</definedName>
    <definedName name="_______DAT1">#REF!</definedName>
    <definedName name="_______DAT11">#REF!</definedName>
    <definedName name="_______DAT2">#REF!</definedName>
    <definedName name="_______DAT4">#REF!</definedName>
    <definedName name="_______DAT5">#REF!</definedName>
    <definedName name="_______DAT6">#REF!</definedName>
    <definedName name="_______SCH4">#REF!</definedName>
    <definedName name="______DAT3">#REF!</definedName>
    <definedName name="______laj">#REF!</definedName>
    <definedName name="______SCH4">#REF!</definedName>
    <definedName name="_____SCH4">#REF!</definedName>
    <definedName name="____SCH4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0">#REF!</definedName>
    <definedName name="___DAT21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mds_first_cell___">#REF!</definedName>
    <definedName name="___mds_view_data___">#REF!</definedName>
    <definedName name="___SCH4">#REF!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SCH4">#REF!</definedName>
    <definedName name="_1">#REF!</definedName>
    <definedName name="_1_2004_SA">#REF!</definedName>
    <definedName name="_12">#REF!</definedName>
    <definedName name="_1995_96">#REF!</definedName>
    <definedName name="_2">#REF!</definedName>
    <definedName name="_3">#REF!</definedName>
    <definedName name="_315C0">+#REF!+#REF!+#REF!+#REF!+#REF!+#REF!+#REF!+#REF!+#REF!+#REF!+#REF!+#REF!+#REF!+#REF!+#REF!+#REF!+#REF!+#REF!+#REF!+#REF!+#REF!+#REF!+#REF!+#REF!+#REF!+#REF!+#REF!+#REF!</definedName>
    <definedName name="_315C1">_315C0+#REF!+#REF!+#REF!+#REF!+#REF!+#REF!+#REF!+#REF!+#REF!+#REF!+#REF!+#REF!+#REF!+#REF!+#REF!+#REF!+#REF!+#REF!+#REF!+#REF!+#REF!+#REF!+#REF!+#REF!+#REF!+#REF!+#REF!</definedName>
    <definedName name="_3500">+#REF!+#REF!+#REF!+#REF!+#REF!+#REF!+#REF!+#REF!+#REF!+#REF!+#REF!+#REF!+#REF!+#REF!+#REF!+#REF!+#REF!+#REF!+#REF!+#REF!+#REF!+#REF!+#REF!+#REF!+#REF!+#REF!+#REF!+#REF!</definedName>
    <definedName name="_35A10">+#REF!+#REF!+#REF!+#REF!+#REF!+#REF!+#REF!+#REF!+#REF!+#REF!+#REF!+#REF!+#REF!+#REF!+#REF!+#REF!+#REF!+#REF!+#REF!+#REF!+#REF!+#REF!+#REF!+#REF!+#REF!+#REF!+#REF!+#REF!</definedName>
    <definedName name="_3731">+#REF!+#REF!+#REF!+#REF!+#REF!+#REF!+#REF!+#REF!+#REF!+#REF!+#REF!+#REF!+#REF!+#REF!+#REF!+#REF!+#REF!+#REF!+#REF!+#REF!+#REF!+#REF!+#REF!+#REF!+#REF!+#REF!+#REF!+#REF!</definedName>
    <definedName name="_4">#REF!</definedName>
    <definedName name="_5">#REF!</definedName>
    <definedName name="_ACM1">#REF!</definedName>
    <definedName name="_ck3">#REF!</definedName>
    <definedName name="_CMA06">#REF!</definedName>
    <definedName name="_coa">#REF!</definedName>
    <definedName name="_cop1">#REF!</definedName>
    <definedName name="_cop2">#REF!</definedName>
    <definedName name="_D4025_DCKothariTextilesLtd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P390">#REF!</definedName>
    <definedName name="_dk3">#REF!</definedName>
    <definedName name="_E4018_ElcotPowerControlsLtd">#REF!</definedName>
    <definedName name="_entry">#REF!</definedName>
    <definedName name="_F0004_FerroAlloysCorporationLtd">#REF!</definedName>
    <definedName name="_farh">#REF!</definedName>
    <definedName name="_Fill" hidden="1">#REF!</definedName>
    <definedName name="_fin1">#REF!</definedName>
    <definedName name="_fin2">#REF!</definedName>
    <definedName name="_fin3">#REF!</definedName>
    <definedName name="_fin4">#REF!</definedName>
    <definedName name="_fin5">#REF!</definedName>
    <definedName name="_FormSheet_">#REF!</definedName>
    <definedName name="_fsitem">#REF!</definedName>
    <definedName name="_G0012_GarwareNylonsLtd">#REF!</definedName>
    <definedName name="_group">#REF!</definedName>
    <definedName name="_H1021_HytaisunMagneticsLimite">#REF!</definedName>
    <definedName name="_I0090_IdcolCement">#REF!</definedName>
    <definedName name="_insight">#REF!</definedName>
    <definedName name="_J0078_8_JainIrrigationLtd">#REF!</definedName>
    <definedName name="_J0078_9_JainIrrigationLtd">#REF!</definedName>
    <definedName name="_J8004_JerseyIndiaLtd">#REF!</definedName>
    <definedName name="_jjrj">#REF!</definedName>
    <definedName name="_K0006_2_KalyanpurCementLtd">#REF!</definedName>
    <definedName name="_K0006_3_KalyanpurCementLtd">#REF!</definedName>
    <definedName name="_K0006_4_KalyanpurCementLtd">#REF!</definedName>
    <definedName name="_K0006_5_KalyanpurCementLtd">#REF!</definedName>
    <definedName name="_Key1" hidden="1">#REF!</definedName>
    <definedName name="_Key2" hidden="1">#REF!</definedName>
    <definedName name="_L1031_1_LloydsFinanceLtd">#REF!</definedName>
    <definedName name="_L1031_2_LloydsFinanceLtdLoc">#REF!</definedName>
    <definedName name="_L1034_1_LloydsRealtyLtd">#REF!</definedName>
    <definedName name="_L1034_2_LloydsRealtyLtd">#REF!</definedName>
    <definedName name="_M0019_MafatlalIndustriesLtd">#REF!</definedName>
    <definedName name="_M0141_4_MadhyaBharatPapersLtd">#REF!</definedName>
    <definedName name="_map">#REF!</definedName>
    <definedName name="_mapfile">#REF!</definedName>
    <definedName name="_mof1">#REF!</definedName>
    <definedName name="_mof2">#REF!</definedName>
    <definedName name="_N0025_NeycerIndiaLtd">#REF!</definedName>
    <definedName name="_N0112_NihonNirmaanLtd">#REF!</definedName>
    <definedName name="_new">#REF!</definedName>
    <definedName name="_newtext">#REF!</definedName>
    <definedName name="_NSO2" hidden="1">{"'Sheet1'!$L$16"}</definedName>
    <definedName name="_old">#REF!</definedName>
    <definedName name="_Order1" hidden="1">255</definedName>
    <definedName name="_Order2" hidden="1">255</definedName>
    <definedName name="_P0131_ParasrampuriaSynthetics">#REF!</definedName>
    <definedName name="_P6005_1_NucentFinance">#REF!</definedName>
    <definedName name="_P6005_2_NucentFianace">#REF!</definedName>
    <definedName name="_P6005_3_NucentFinance">#REF!</definedName>
    <definedName name="_P6005_4_NucentFinance">#REF!</definedName>
    <definedName name="_PAG1">#REF!</definedName>
    <definedName name="_PAG10">#REF!</definedName>
    <definedName name="_PAG2">!$A$73:$E$140</definedName>
    <definedName name="_PAG3">#REF!</definedName>
    <definedName name="_PAG4">#REF!</definedName>
    <definedName name="_PAG5">#REF!</definedName>
    <definedName name="_PAG6">#REF!</definedName>
    <definedName name="_PAG7">#REF!</definedName>
    <definedName name="_PAG8">#REF!</definedName>
    <definedName name="_PAG9">#REF!</definedName>
    <definedName name="_Parse_In" hidden="1">#REF!</definedName>
    <definedName name="_Parse_Out" hidden="1">#REF!</definedName>
    <definedName name="_pg3">#REF!</definedName>
    <definedName name="_pg5">#REF!</definedName>
    <definedName name="_pg7">#REF!</definedName>
    <definedName name="_pg9">#REF!</definedName>
    <definedName name="_PNL3">#REF!</definedName>
    <definedName name="_ps">#REF!</definedName>
    <definedName name="_RS1">#REF!</definedName>
    <definedName name="_s">#REF!</definedName>
    <definedName name="_S0288_SpartekCeramicsIndiaLtd">#REF!</definedName>
    <definedName name="_S1358_ShreePrecoatedSteelsLtd">#REF!</definedName>
    <definedName name="_SCH1">#REF!</definedName>
    <definedName name="_SCH2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DH2">#REF!</definedName>
    <definedName name="_SHD1">#REF!</definedName>
    <definedName name="_SHD10">#REF!</definedName>
    <definedName name="_SHD13">#REF!</definedName>
    <definedName name="_SHD15">#REF!</definedName>
    <definedName name="_SHD3">#REF!</definedName>
    <definedName name="_SHD4">#REF!</definedName>
    <definedName name="_SHD5">#REF!</definedName>
    <definedName name="_SHD6">#REF!</definedName>
    <definedName name="_SHD7">#REF!</definedName>
    <definedName name="_SHD8">#REF!</definedName>
    <definedName name="_SHD9">#REF!</definedName>
    <definedName name="_Sort" hidden="1">#REF!</definedName>
    <definedName name="_T0159_TamilnaduHospitalLtd">#REF!</definedName>
    <definedName name="_temp">#REF!</definedName>
    <definedName name="_temp1">#REF!</definedName>
    <definedName name="_temp2">#REF!</definedName>
    <definedName name="_temp3">#REF!</definedName>
    <definedName name="_temp4">#REF!</definedName>
    <definedName name="_tgt2">#REF!</definedName>
    <definedName name="_TRL1">#REF!</definedName>
    <definedName name="_U0069_6_BplDisplayUptronColourPictureTubes">#REF!</definedName>
    <definedName name="_ZB2000">#REF!</definedName>
    <definedName name="_ZBIFC_L_BifrClosedWithLegalClassification">#REF!</definedName>
    <definedName name="_ZBIFC_N_BifrClosedWithoutLegalClassif">#REF!</definedName>
    <definedName name="_ZBIFL_L_BifrLegalWithLegalClassification">#REF!</definedName>
    <definedName name="_ZBIFO_L_BifrOperatingWithLegalClassification">#REF!</definedName>
    <definedName name="_ZBIFO_N_BifrOperatingWithoutLegalClassif">#REF!</definedName>
    <definedName name="a">1000000</definedName>
    <definedName name="a_master">#REF!</definedName>
    <definedName name="aa">#REF!</definedName>
    <definedName name="AAA">#REF!</definedName>
    <definedName name="AAAAA_AHypotheticalExampleCompany">#REF!</definedName>
    <definedName name="aaaaaaaa">#REF!</definedName>
    <definedName name="ab" hidden="1">{#N/A,#N/A,FALSE,"Status of Projects";#N/A,#N/A,FALSE,"CEA-TEC";#N/A,#N/A,FALSE,"U-Constr.";#N/A,#N/A,FALSE,"summary";#N/A,#N/A,FALSE,"PPP-3 yrs"}</definedName>
    <definedName name="abc" hidden="1">{#N/A,#N/A,FALSE,"Sheet1"}</definedName>
    <definedName name="absorb">#REF!</definedName>
    <definedName name="ABT" hidden="1">{#N/A,#N/A,FALSE,"Sheet1"}</definedName>
    <definedName name="AC">#REF!</definedName>
    <definedName name="acc">#REF!</definedName>
    <definedName name="ACCDECRETION">#REF!</definedName>
    <definedName name="AccessDatabase" hidden="1">"D:\RPR\MAY\WORKER SALARY(MAY).mdb"</definedName>
    <definedName name="Actual_month">#REF!</definedName>
    <definedName name="Actual_ytd">#REF!</definedName>
    <definedName name="ad" hidden="1">{#N/A,#N/A,FALSE,"Status of Projects";#N/A,#N/A,FALSE,"CEA-TEC";#N/A,#N/A,FALSE,"U-Constr.";#N/A,#N/A,FALSE,"summary";#N/A,#N/A,FALSE,"PPP-3 yrs"}</definedName>
    <definedName name="adad">#REF!</definedName>
    <definedName name="Additio_deletion">#REF!</definedName>
    <definedName name="ADJD">#REF!</definedName>
    <definedName name="Admin_Budget">#REF!</definedName>
    <definedName name="Administration">#REF!</definedName>
    <definedName name="ADMN">#REF!</definedName>
    <definedName name="ADMN_OFFICE">#REF!</definedName>
    <definedName name="ADMNSELLING">#REF!</definedName>
    <definedName name="ADPI_LOOSE_OIL">#REF!</definedName>
    <definedName name="ADPI_PACKED_OIL">#REF!</definedName>
    <definedName name="adsqfdqwwdf">#REF!</definedName>
    <definedName name="AGE">#REF!</definedName>
    <definedName name="Agree">#REF!</definedName>
    <definedName name="agree1">#REF!</definedName>
    <definedName name="AHM">#REF!</definedName>
    <definedName name="ai">#REF!</definedName>
    <definedName name="air">#REF!</definedName>
    <definedName name="AIR_CONDITIONING">#REF!</definedName>
    <definedName name="airold">#REF!</definedName>
    <definedName name="airvolu">#REF!</definedName>
    <definedName name="airx">#REF!</definedName>
    <definedName name="AIT">#REF!</definedName>
    <definedName name="allold">#REF!</definedName>
    <definedName name="ALOK">#REF!</definedName>
    <definedName name="amish">#REF!</definedName>
    <definedName name="anis" hidden="1">{#N/A,#N/A,FALSE,"Sheet1"}</definedName>
    <definedName name="annex1">#REF!</definedName>
    <definedName name="annnnn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nphong" hidden="1">{"'Sheet1'!$L$16"}</definedName>
    <definedName name="Användare">#REF!</definedName>
    <definedName name="ANX_1_WATER">#REF!</definedName>
    <definedName name="ANX_2_STEAM">#REF!</definedName>
    <definedName name="anx_3_power">#REF!</definedName>
    <definedName name="ANX_3A_AC">#REF!</definedName>
    <definedName name="ANX_PROFK_PKG">#REF!</definedName>
    <definedName name="APD">#REF!</definedName>
    <definedName name="area">#REF!</definedName>
    <definedName name="AS2DocOpenMode" hidden="1">"AS2DocumentEdit"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utoINS">#REF!</definedName>
    <definedName name="Automation">#REF!</definedName>
    <definedName name="Aventis">#REF!</definedName>
    <definedName name="avg">#REF!</definedName>
    <definedName name="B">#REF!</definedName>
    <definedName name="B_L_schedule_5">#REF!</definedName>
    <definedName name="B_L_schedule_8">#REF!</definedName>
    <definedName name="B_PL_ACT">#REF!</definedName>
    <definedName name="B_PL_BUD">#REF!</definedName>
    <definedName name="bais">#REF!</definedName>
    <definedName name="Bal_Sheet_053_54">#REF!</definedName>
    <definedName name="BALANCE_SHEET">#REF!</definedName>
    <definedName name="BALSHTPROJ">#REF!</definedName>
    <definedName name="bappi" hidden="1">{"'Market &amp; Company Profile'!$H$24:$I$25"}</definedName>
    <definedName name="Basic">#REF!</definedName>
    <definedName name="bbb">#REF!</definedName>
    <definedName name="bbbb">#REF!</definedName>
    <definedName name="blah">#REF!</definedName>
    <definedName name="Bls_sheet">#REF!</definedName>
    <definedName name="BM1_">#REF!</definedName>
    <definedName name="BOILER_HOUSE">#REF!</definedName>
    <definedName name="BORD">#N/A</definedName>
    <definedName name="BOTTLEWASHING">#REF!</definedName>
    <definedName name="bp">#REF!</definedName>
    <definedName name="breakup">#REF!</definedName>
    <definedName name="bs">#REF!</definedName>
    <definedName name="bsheet2">#REF!</definedName>
    <definedName name="BSHT02">#REF!</definedName>
    <definedName name="bud">#REF!</definedName>
    <definedName name="budget">#REF!</definedName>
    <definedName name="Budget_month">#REF!</definedName>
    <definedName name="Budget_ytd">#REF!</definedName>
    <definedName name="BudgetDetails">#REF!</definedName>
    <definedName name="BudgetTable">#REF!</definedName>
    <definedName name="BUILDING_MAIN">#REF!</definedName>
    <definedName name="BuiltIn_Print_Area">#REF!</definedName>
    <definedName name="BuiltIn_Print_Area___0___0___0___0___0">#REF!</definedName>
    <definedName name="BuiltIn_Print_Area___0___0___0___0___0___0">#REF!</definedName>
    <definedName name="BuiltIn_Print_Titles">#REF!</definedName>
    <definedName name="Button2_Click">#REF!</definedName>
    <definedName name="C_">#REF!</definedName>
    <definedName name="CANTEEN">#REF!</definedName>
    <definedName name="capacity">#REF!</definedName>
    <definedName name="CAPACITYPRODUCTIONSC18">#REF!</definedName>
    <definedName name="CAPEX_Scenario">#REF!</definedName>
    <definedName name="CAPPRODNSCHE17">#REF!</definedName>
    <definedName name="Car">#REF!</definedName>
    <definedName name="Cash">#REF!</definedName>
    <definedName name="CASH__FLOW__STATEMENT">#REF!</definedName>
    <definedName name="CASH_BANK">#REF!</definedName>
    <definedName name="CASH_CREDIT">#REF!</definedName>
    <definedName name="CAST">#REF!</definedName>
    <definedName name="CAtegory">#REF!</definedName>
    <definedName name="cbm">#REF!</definedName>
    <definedName name="cca">#REF!</definedName>
    <definedName name="ccc" hidden="1">{#N/A,#N/A,FALSE,"Sheet1"}</definedName>
    <definedName name="ccd">#REF!</definedName>
    <definedName name="CD">#REF!</definedName>
    <definedName name="ce">#REF!</definedName>
    <definedName name="CEPH_MFG_PACKING">#REF!</definedName>
    <definedName name="chaitra">#REF!</definedName>
    <definedName name="change">#REF!</definedName>
    <definedName name="CHECK">#REF!</definedName>
    <definedName name="ci">#REF!</definedName>
    <definedName name="CLIAB">#REF!</definedName>
    <definedName name="Client">"Client"</definedName>
    <definedName name="Client_Grade">"C"</definedName>
    <definedName name="closing_stock_PM_1">#REF!</definedName>
    <definedName name="CLVC3">0.1</definedName>
    <definedName name="cma">#REF!</definedName>
    <definedName name="Code" hidden="1">#REF!</definedName>
    <definedName name="Column">#REF!</definedName>
    <definedName name="company">#REF!</definedName>
    <definedName name="Company_Code">#REF!</definedName>
    <definedName name="Company_Name">#REF!</definedName>
    <definedName name="COOP">#N/A</definedName>
    <definedName name="COP_1">#REF!</definedName>
    <definedName name="COP_12">#REF!</definedName>
    <definedName name="COP_2">#REF!</definedName>
    <definedName name="COP_3">#REF!</definedName>
    <definedName name="COP_34">#REF!</definedName>
    <definedName name="COP_4">#REF!</definedName>
    <definedName name="core">#REF!</definedName>
    <definedName name="COST">#REF!</definedName>
    <definedName name="COST_WAGES">#REF!</definedName>
    <definedName name="counterparty">#REF!</definedName>
    <definedName name="cpd">#REF!</definedName>
    <definedName name="cpr">#REF!</definedName>
    <definedName name="csa">#REF!</definedName>
    <definedName name="CSE">#REF!</definedName>
    <definedName name="Currency">#REF!</definedName>
    <definedName name="CurrentAccount">#REF!</definedName>
    <definedName name="Cust2">#REF!</definedName>
    <definedName name="Customer_Address">"Rm 2409, 24/F Winsor House"</definedName>
    <definedName name="Customer_City">"Causeway Bay, Hong KOng"</definedName>
    <definedName name="Customer_Name">"Trend_Micro_HK_Limited"</definedName>
    <definedName name="Customer_State">"Hong KOng"</definedName>
    <definedName name="Customer_ZIP">"sdf"</definedName>
    <definedName name="CV">#REF!</definedName>
    <definedName name="cvl">#REF!</definedName>
    <definedName name="cvw">#REF!</definedName>
    <definedName name="cy">#REF!</definedName>
    <definedName name="d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Parcel">#REF!</definedName>
    <definedName name="Datatabell">#REF!</definedName>
    <definedName name="Datatest">#REF!</definedName>
    <definedName name="date">#REF!</definedName>
    <definedName name="DateRange">"1998.10.01 To 1998.10.31"</definedName>
    <definedName name="DATK1">#REF!</definedName>
    <definedName name="db">#REF!</definedName>
    <definedName name="dbadd">#REF!</definedName>
    <definedName name="dbbis">#REF!</definedName>
    <definedName name="dca">#REF!</definedName>
    <definedName name="dcd">#REF!</definedName>
    <definedName name="dct">#REF!</definedName>
    <definedName name="DCTLST">#REF!</definedName>
    <definedName name="DCTprint_assets">#REF!</definedName>
    <definedName name="DCTprint_Liabs">#REF!</definedName>
    <definedName name="DCTSC">#REF!</definedName>
    <definedName name="dd">#REF!</definedName>
    <definedName name="ddg">#REF!</definedName>
    <definedName name="de">#REF!</definedName>
    <definedName name="deletion">#REF!</definedName>
    <definedName name="DEO">#REF!</definedName>
    <definedName name="depalloc">#REF!</definedName>
    <definedName name="Depot_Exports">#REF!</definedName>
    <definedName name="Depot_Extension">#REF!</definedName>
    <definedName name="Depot_Flexi">#REF!</definedName>
    <definedName name="Depot_Kerala">#REF!</definedName>
    <definedName name="Depot_Rigids">#REF!</definedName>
    <definedName name="DEPREC">#REF!</definedName>
    <definedName name="DEPRECIATION_MFG">#REF!</definedName>
    <definedName name="DEPRECIATION_PROJECTS">#REF!</definedName>
    <definedName name="Detail_Addition_Deletion_FixedAssets">#REF!</definedName>
    <definedName name="Detail_Sales_Return">#REF!</definedName>
    <definedName name="DETAILS_OF_SCHEDULE___8">#REF!</definedName>
    <definedName name="DETAILS_OF_SCHEDULS___6">#REF!</definedName>
    <definedName name="DEXTROSEPACKING">#REF!</definedName>
    <definedName name="dg">#REF!</definedName>
    <definedName name="dgg">#REF!</definedName>
    <definedName name="DHAKA_OFFICE">#REF!</definedName>
    <definedName name="di">#REF!</definedName>
    <definedName name="Discount" hidden="1">#REF!</definedName>
    <definedName name="discription">#REF!</definedName>
    <definedName name="display_area_2" hidden="1">#REF!</definedName>
    <definedName name="DMO_BARISAL">#REF!</definedName>
    <definedName name="DMO_BOGRA">#REF!</definedName>
    <definedName name="DMO_COMILLA">#REF!</definedName>
    <definedName name="DMO_CTG">#REF!</definedName>
    <definedName name="DMO_DHAKA">#REF!</definedName>
    <definedName name="DMO_JESSORE">#REF!</definedName>
    <definedName name="DMO_MYN">#REF!</definedName>
    <definedName name="DMO_RAJSHAHI">#REF!</definedName>
    <definedName name="DMO_RANGPUR">#REF!</definedName>
    <definedName name="DMO_SYLHET">#REF!</definedName>
    <definedName name="Document_array">{"Phat.xls"}</definedName>
    <definedName name="dollar">#REF!</definedName>
    <definedName name="dpd">#REF!</definedName>
    <definedName name="dpr">#REF!</definedName>
    <definedName name="Drop_down">#REF!</definedName>
    <definedName name="dsa">#REF!</definedName>
    <definedName name="dscr">#REF!</definedName>
    <definedName name="DT">#REF!</definedName>
    <definedName name="dvl">#REF!</definedName>
    <definedName name="dvw">#REF!</definedName>
    <definedName name="dweqdeadwe">#REF!</definedName>
    <definedName name="DxXai_LiafromSharebasedpay_PER5">#REF!</definedName>
    <definedName name="dy">#REF!</definedName>
    <definedName name="Dyes__paints__varnishes__and_inks__Excise_duty">#REF!</definedName>
    <definedName name="e">#REF!</definedName>
    <definedName name="ebit">#REF!</definedName>
    <definedName name="EBITmultiple">#REF!</definedName>
    <definedName name="eca">#REF!</definedName>
    <definedName name="ecd">#REF!</definedName>
    <definedName name="edit">#REF!</definedName>
    <definedName name="edu">#REF!</definedName>
    <definedName name="ee">#REF!</definedName>
    <definedName name="effconv">#REF!</definedName>
    <definedName name="EFFINS">#REF!</definedName>
    <definedName name="EFixFitt">#REF!</definedName>
    <definedName name="EgenRappPath">#REF!</definedName>
    <definedName name="EGP_to_INR">#REF!</definedName>
    <definedName name="ei">#REF!</definedName>
    <definedName name="EMP._CODE">#REF!</definedName>
    <definedName name="EMP._CODE.">#REF!</definedName>
    <definedName name="EMPL">#REF!</definedName>
    <definedName name="Energy">#REF!</definedName>
    <definedName name="ENG_MAINENANCE">#REF!</definedName>
    <definedName name="ENG_STORES">#REF!</definedName>
    <definedName name="entity">#REF!</definedName>
    <definedName name="epd">#REF!</definedName>
    <definedName name="epr">#REF!</definedName>
    <definedName name="Equip1">#REF!</definedName>
    <definedName name="EquipINS">#REF!</definedName>
    <definedName name="eqwgfvqwefewqf">#REF!</definedName>
    <definedName name="er">#REF!</definedName>
    <definedName name="esa">#REF!</definedName>
    <definedName name="etettrggttg">#REF!</definedName>
    <definedName name="EURO">#REF!</definedName>
    <definedName name="EV__LASTREFTIME__" hidden="1">39828.6634490741</definedName>
    <definedName name="evl">#REF!</definedName>
    <definedName name="evw">#REF!</definedName>
    <definedName name="Exercice">#REF!</definedName>
    <definedName name="EXTRAORDI">#REF!</definedName>
    <definedName name="ey">#REF!</definedName>
    <definedName name="f" hidden="1">{#N/A,#N/A,FALSE,"Sheet1"}</definedName>
    <definedName name="F.1">#REF!</definedName>
    <definedName name="F.summ">#REF!</definedName>
    <definedName name="F1_Server">"Server Name"</definedName>
    <definedName name="F1_Server_1">"HK-CILLIN"</definedName>
    <definedName name="F1_Server_2">""</definedName>
    <definedName name="F1_Server_3">""</definedName>
    <definedName name="F1_Server_4">""</definedName>
    <definedName name="F1_Server_5">""</definedName>
    <definedName name="F1_Service">"Service "</definedName>
    <definedName name="F1_Service_1">"InterScan NT"</definedName>
    <definedName name="F1_Service_2">""</definedName>
    <definedName name="F1_Service_3">""</definedName>
    <definedName name="F1_Service_4">""</definedName>
    <definedName name="F1_Service_5">""</definedName>
    <definedName name="F1_Virus">"# of Viruses "</definedName>
    <definedName name="F1_virus_1">"1"</definedName>
    <definedName name="F1_virus_2">""</definedName>
    <definedName name="F1_virus_3">""</definedName>
    <definedName name="F1_virus_4">""</definedName>
    <definedName name="F1_virus_5">""</definedName>
    <definedName name="F3_Machine">"Machine Name"</definedName>
    <definedName name="F3_Machine_1">""</definedName>
    <definedName name="F3_Machine_2">""</definedName>
    <definedName name="F3_Machine_3">""</definedName>
    <definedName name="F3_Machine_4">""</definedName>
    <definedName name="F3_Machine_5">""</definedName>
    <definedName name="F3_Virus_1">""</definedName>
    <definedName name="F3_Virus_2">""</definedName>
    <definedName name="F3_Virus_3">""</definedName>
    <definedName name="F3_Virus_4">""</definedName>
    <definedName name="F3_Virus_5">""</definedName>
    <definedName name="F3_Viruses">"# of Viruses "</definedName>
    <definedName name="FA">#REF!</definedName>
    <definedName name="FA_89">#REF!</definedName>
    <definedName name="FA389_">#REF!</definedName>
    <definedName name="FA390_">#REF!</definedName>
    <definedName name="FACTORY_BUILDING">#REF!</definedName>
    <definedName name="faqdf">#REF!</definedName>
    <definedName name="fat">#REF!</definedName>
    <definedName name="FBT">#REF!</definedName>
    <definedName name="fca">#REF!</definedName>
    <definedName name="fcd">#REF!</definedName>
    <definedName name="FCode" hidden="1">#REF!</definedName>
    <definedName name="fe">#REF!</definedName>
    <definedName name="fer">#REF!</definedName>
    <definedName name="ff">#REF!</definedName>
    <definedName name="ffffff">#REF!</definedName>
    <definedName name="fgh" hidden="1">{#N/A,#N/A,FALSE,"Sheet1"}</definedName>
    <definedName name="fi">#REF!</definedName>
    <definedName name="Figure_1_Comment">""</definedName>
    <definedName name="Figure_1_Head">"Virus Entry Point Analysis ( Server )"</definedName>
    <definedName name="Figure_2_Head">"Overall Score"</definedName>
    <definedName name="Figure_3_Comment">""</definedName>
    <definedName name="Figure_3_Head">"Virus Entry Point Analysis ( Client )"</definedName>
    <definedName name="Figure_4_Comment">" "</definedName>
    <definedName name="Figure_4_Head">"Daily Virus Count"</definedName>
    <definedName name="Figure_5_Comment">" "</definedName>
    <definedName name="Figure_5_Head">"Virus Type Analysis"</definedName>
    <definedName name="Figure_6_Comment">" "</definedName>
    <definedName name="Figure_6_Head">"Common Viruses"</definedName>
    <definedName name="Figure_7_Comment">" "</definedName>
    <definedName name="Figure_7_Head">"Virus Source Analysis"</definedName>
    <definedName name="Figure_8_Comment">" "</definedName>
    <definedName name="Figure_8_Head">"Virus Destination Analysis"</definedName>
    <definedName name="FileServer">"File Server"</definedName>
    <definedName name="FileServer_Grade">"C"</definedName>
    <definedName name="Final_Trail">#REF!</definedName>
    <definedName name="FINAN">#REF!</definedName>
    <definedName name="FINANCE">#REF!</definedName>
    <definedName name="Finished_Goods">#REF!</definedName>
    <definedName name="FIS">#REF!</definedName>
    <definedName name="FIXAST">#REF!</definedName>
    <definedName name="Fixed">#REF!</definedName>
    <definedName name="Fixed_Asset_Add_Detail">#REF!</definedName>
    <definedName name="Fixed_Assets">#REF!</definedName>
    <definedName name="Flood">#REF!</definedName>
    <definedName name="Forecast_2000">#REF!</definedName>
    <definedName name="form5">#REF!</definedName>
    <definedName name="Format">#REF!</definedName>
    <definedName name="FOtherAxes">#REF!</definedName>
    <definedName name="fpd">#REF!</definedName>
    <definedName name="fpr">#REF!</definedName>
    <definedName name="fsa">#REF!</definedName>
    <definedName name="fsitem">#REF!</definedName>
    <definedName name="fsitem2">#REF!</definedName>
    <definedName name="Function_Business">"cboxRespcent"</definedName>
    <definedName name="fund">#REF!</definedName>
    <definedName name="FUNDS__FLOW">#REF!</definedName>
    <definedName name="FurFixINS">#REF!</definedName>
    <definedName name="FurnFix1">#REF!</definedName>
    <definedName name="fvl">#REF!</definedName>
    <definedName name="fvw">#REF!</definedName>
    <definedName name="fxfile">#REF!</definedName>
    <definedName name="fy">#REF!</definedName>
    <definedName name="G0202_GrapcoGranitesLtd">#REF!</definedName>
    <definedName name="GENERAL_BUILDING">#REF!</definedName>
    <definedName name="GENERAL_RESERVES_ACCOUNT">#REF!</definedName>
    <definedName name="gg">#REF!</definedName>
    <definedName name="GOA_COPRA">#REF!</definedName>
    <definedName name="GOA_COPRA_CAKE">#REF!</definedName>
    <definedName name="GOA_LOOSE_OIL">#REF!</definedName>
    <definedName name="GOA_PACKED_OIL">#REF!</definedName>
    <definedName name="GPRF">#REF!</definedName>
    <definedName name="GPSF">#REF!</definedName>
    <definedName name="Grade">"C"</definedName>
    <definedName name="Grade_Level">"Grade "</definedName>
    <definedName name="grm">#REF!</definedName>
    <definedName name="Group">#REF!</definedName>
    <definedName name="GROUPING">#REF!</definedName>
    <definedName name="h">#REF!</definedName>
    <definedName name="H._Resource">#REF!</definedName>
    <definedName name="hdfh">#REF!</definedName>
    <definedName name="Heä_soá_laép_xaø_H">1.7</definedName>
    <definedName name="HEAD">#N/A</definedName>
    <definedName name="Header">#REF!</definedName>
    <definedName name="HeadOffice">#REF!</definedName>
    <definedName name="hh" hidden="1">{"'Market &amp; Company Profile'!$H$24:$I$25"}</definedName>
    <definedName name="hhhh">#REF!</definedName>
    <definedName name="hhhhhhhhhh">#REF!</definedName>
    <definedName name="HiddenRows" hidden="1">#REF!</definedName>
    <definedName name="High">#REF!</definedName>
    <definedName name="Hire_Purchase">#REF!</definedName>
    <definedName name="hmix">#REF!</definedName>
    <definedName name="HowardParkAgra">#REF!+#REF!</definedName>
    <definedName name="HSCT3">0.1</definedName>
    <definedName name="HSDN">2.5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"Market &amp; Company Profile"</definedName>
    <definedName name="HTML_LastUpdate" hidden="1">"25.01.01"</definedName>
    <definedName name="HTML_LineAfter" hidden="1">FALSE</definedName>
    <definedName name="HTML_LineBefore" hidden="1">FALSE</definedName>
    <definedName name="HTML_Name" hidden="1">"Arthur Andersen"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"C:\DATA\Aurora II\Design\Input\Actual\MyHTML.htm"</definedName>
    <definedName name="HTML_PathTemplate" hidden="1">"C:\infac\pricewth\Aug99\Page06e.htm"</definedName>
    <definedName name="HTML_Title" hidden="1">"010124 (EndeligReportPackagesMarket)v"</definedName>
    <definedName name="Human_Resource">#REF!</definedName>
    <definedName name="huy" hidden="1">{"'Sheet1'!$L$16"}</definedName>
    <definedName name="ID">#N/A</definedName>
    <definedName name="iel">#REF!</definedName>
    <definedName name="ielold">#REF!</definedName>
    <definedName name="ielx">#REF!</definedName>
    <definedName name="iiiiiiiiiii">#REF!</definedName>
    <definedName name="imp">#REF!</definedName>
    <definedName name="Income_Details">#REF!</definedName>
    <definedName name="INDEX">#REF!</definedName>
    <definedName name="Infor_technology">#REF!</definedName>
    <definedName name="Information_Technology">#REF!</definedName>
    <definedName name="INJ_DROP_MFG">#REF!</definedName>
    <definedName name="INJ_DROP_PACK">#REF!</definedName>
    <definedName name="Input_Range">OFFSET(#REF!,0,0,COUNTA(#REF!),COUNTA(#REF!))</definedName>
    <definedName name="Insurance_Prepaid">#REF!</definedName>
    <definedName name="INT">#N/A</definedName>
    <definedName name="INTENTORY">#REF!</definedName>
    <definedName name="Intercompany">#REF!</definedName>
    <definedName name="Interest_basis">#REF!</definedName>
    <definedName name="Interest_copy">#REF!</definedName>
    <definedName name="INTEREST_FINANCIAL_CHARGES">#REF!</definedName>
    <definedName name="INTERESTEXP">#REF!</definedName>
    <definedName name="InternetProtection">"Internet Protection"</definedName>
    <definedName name="InternetProtection_Grade">"C"</definedName>
    <definedName name="INV">#REF!</definedName>
    <definedName name="Inventory">#REF!</definedName>
    <definedName name="iou">#REF!</definedName>
    <definedName name="irr">#REF!</definedName>
    <definedName name="IT">#REF!</definedName>
    <definedName name="item">#REF!</definedName>
    <definedName name="IV">#REF!</definedName>
    <definedName name="J.J._Foods_Packed_oil">#REF!</definedName>
    <definedName name="J.J.Foods_loose_Oil">#REF!</definedName>
    <definedName name="jbg">#REF!</definedName>
    <definedName name="jj">#REF!</definedName>
    <definedName name="jjjj">#REF!</definedName>
    <definedName name="jul">#REF!</definedName>
    <definedName name="jun">#REF!</definedName>
    <definedName name="June07">#REF!</definedName>
    <definedName name="k">#REF!</definedName>
    <definedName name="K0006_1_KalyanpurCementLtd">#REF!</definedName>
    <definedName name="ka">2</definedName>
    <definedName name="KAIRALI_LOOSE_OIL">#REF!</definedName>
    <definedName name="KAIRALI_PACKED_OIL">#REF!</definedName>
    <definedName name="kdfløs">#REF!</definedName>
    <definedName name="kg">#REF!</definedName>
    <definedName name="kjhsdfuih">#REF!</definedName>
    <definedName name="kk">#REF!</definedName>
    <definedName name="KKD_CAKE">#REF!</definedName>
    <definedName name="KKD_COPRA">#REF!</definedName>
    <definedName name="KKD_LOOSE_OIL">#REF!</definedName>
    <definedName name="KKD_PACKED_OIL">#REF!</definedName>
    <definedName name="kkjj">#REF!</definedName>
    <definedName name="kkkkkk">#REF!</definedName>
    <definedName name="l">#REF!</definedName>
    <definedName name="L_TGT">#REF!</definedName>
    <definedName name="LC" hidden="1">{"'Sheet1'!$L$16"}</definedName>
    <definedName name="lca">#REF!</definedName>
    <definedName name="lcd">#REF!</definedName>
    <definedName name="lcfs">#REF!</definedName>
    <definedName name="LCL">#REF!</definedName>
    <definedName name="le">#REF!</definedName>
    <definedName name="LEDGER">#REF!</definedName>
    <definedName name="LETTER">#N/A</definedName>
    <definedName name="li">#REF!</definedName>
    <definedName name="libel_unite">#REF!</definedName>
    <definedName name="liurtgfjh">#REF!</definedName>
    <definedName name="LOANS">#REF!</definedName>
    <definedName name="local">#REF!</definedName>
    <definedName name="LOCAL_PURCHASE">#REF!</definedName>
    <definedName name="localnum">#REF!</definedName>
    <definedName name="Lösenord">#REF!</definedName>
    <definedName name="Loss_on_Sale_of_Fixed_Assets">#REF!</definedName>
    <definedName name="LOUNDRY">#REF!</definedName>
    <definedName name="lpd">#REF!</definedName>
    <definedName name="lpr">#REF!</definedName>
    <definedName name="LS_QTY_OP">#REF!</definedName>
    <definedName name="lsa">#REF!</definedName>
    <definedName name="lss">#REF!</definedName>
    <definedName name="lssold">#REF!</definedName>
    <definedName name="lssx">#REF!</definedName>
    <definedName name="LUNCH_ROOM">#REF!</definedName>
    <definedName name="lvl">#REF!</definedName>
    <definedName name="lvw">#REF!</definedName>
    <definedName name="ly">#REF!</definedName>
    <definedName name="m">#REF!</definedName>
    <definedName name="m_m">#REF!</definedName>
    <definedName name="MailSystem">"Mail System"</definedName>
    <definedName name="MailSystem_Grade">"C"</definedName>
    <definedName name="MAIN">#N/A</definedName>
    <definedName name="Manufacturing">#REF!</definedName>
    <definedName name="Mapped_ZB2000_Acc.">#REF!</definedName>
    <definedName name="MARETING_OFFICE">#REF!</definedName>
    <definedName name="MATCOST">#REF!</definedName>
    <definedName name="Material_Costs">#REF!</definedName>
    <definedName name="MAYWIN_LOOSE_OIL">#REF!</definedName>
    <definedName name="MayWin_Packed_oil">#REF!</definedName>
    <definedName name="MD_OFFICE">#REF!</definedName>
    <definedName name="MEDICAL_CENTRE">#REF!</definedName>
    <definedName name="MEP">#REF!</definedName>
    <definedName name="message">#REF!</definedName>
    <definedName name="MFGEXP">#REF!</definedName>
    <definedName name="MGS">#REF!</definedName>
    <definedName name="MIAC">#REF!</definedName>
    <definedName name="MININGEXP">#REF!</definedName>
    <definedName name="mis_repo">#REF!</definedName>
    <definedName name="MISC">#REF!</definedName>
    <definedName name="mix">#REF!</definedName>
    <definedName name="mk">#REF!</definedName>
    <definedName name="MM">#REF!</definedName>
    <definedName name="mmmm">#REF!</definedName>
    <definedName name="model05" hidden="1">{#N/A,#N/A,FALSE,"Status of Projects";#N/A,#N/A,FALSE,"CEA-TEC";#N/A,#N/A,FALSE,"U-Constr.";#N/A,#N/A,FALSE,"summary";#N/A,#N/A,FALSE,"PPP-3 yrs"}</definedName>
    <definedName name="mois">#REF!</definedName>
    <definedName name="month">#REF!</definedName>
    <definedName name="Msg">#REF!</definedName>
    <definedName name="Mth">#REF!</definedName>
    <definedName name="MZN" hidden="1">{#N/A,#N/A,FALSE,"Sheet1"}</definedName>
    <definedName name="n">#REF!</definedName>
    <definedName name="n__tendance">#REF!</definedName>
    <definedName name="NAL">#REF!</definedName>
    <definedName name="Nama">#REF!</definedName>
    <definedName name="namaa">#REF!</definedName>
    <definedName name="NAME">#N/A</definedName>
    <definedName name="Negara">#REF!</definedName>
    <definedName name="Negaraa">#REF!</definedName>
    <definedName name="Negaraab">#REF!</definedName>
    <definedName name="new_pol">#REF!</definedName>
    <definedName name="NewBWA">#REF!</definedName>
    <definedName name="nido">#REF!</definedName>
    <definedName name="ninhson" hidden="1">{"'Sheet1'!$L$16"}</definedName>
    <definedName name="nn">#REF!</definedName>
    <definedName name="nnn" hidden="1">{"'Market &amp; Company Profile'!$H$24:$I$25"}</definedName>
    <definedName name="nnnnnnnnnn" hidden="1">{#N/A,#N/A,FALSE,"Status of Projects";#N/A,#N/A,FALSE,"CEA-TEC";#N/A,#N/A,FALSE,"U-Constr.";#N/A,#N/A,FALSE,"summary";#N/A,#N/A,FALSE,"PPP-3 yrs"}</definedName>
    <definedName name="normal">#REF!</definedName>
    <definedName name="north">#REF!</definedName>
    <definedName name="NOTSONACCOUNT">#REF!</definedName>
    <definedName name="NumberOfSelected">#REF!</definedName>
    <definedName name="O.K._OIL_MILLS">#REF!</definedName>
    <definedName name="obs">#REF!</definedName>
    <definedName name="obuttonKVD1">"Group 107"</definedName>
    <definedName name="obuttonKVD10">"Group 132"</definedName>
    <definedName name="obuttonKVD2">"Group 108"</definedName>
    <definedName name="obuttonKVD3">"Group 111"</definedName>
    <definedName name="obuttonKVD4">"Group 114"</definedName>
    <definedName name="obuttonKVD5">"Group 117"</definedName>
    <definedName name="obuttonKVD6">"Group 120"</definedName>
    <definedName name="obuttonKVD7">"Group 123"</definedName>
    <definedName name="obuttonKVD8">"Group 126"</definedName>
    <definedName name="obuttonKVD9">"Group 129"</definedName>
    <definedName name="oce">#REF!</definedName>
    <definedName name="oceanx">#REF!</definedName>
    <definedName name="oceold">#REF!</definedName>
    <definedName name="ocevolu">#REF!</definedName>
    <definedName name="ocex">#REF!</definedName>
    <definedName name="OCOGM">#REF!</definedName>
    <definedName name="OH_pivot">#REF!</definedName>
    <definedName name="ok">#REF!</definedName>
    <definedName name="okl">#REF!</definedName>
    <definedName name="old">#REF!</definedName>
    <definedName name="oo">#N/A</definedName>
    <definedName name="operating">#REF!</definedName>
    <definedName name="OPL">#REF!</definedName>
    <definedName name="ORAL_LQD_MFG">#REF!</definedName>
    <definedName name="ORAL_LQD_PACK">#REF!</definedName>
    <definedName name="OrderTable" hidden="1">#REF!</definedName>
    <definedName name="osnsoida">#REF!</definedName>
    <definedName name="osvhiyhj">#REF!</definedName>
    <definedName name="OTHERINCOME">#REF!</definedName>
    <definedName name="OTHERINFORMATION">#REF!</definedName>
    <definedName name="OTHERS">#REF!</definedName>
    <definedName name="outfile">#REF!</definedName>
    <definedName name="OVERPRINTING">#REF!</definedName>
    <definedName name="P">#REF!</definedName>
    <definedName name="P_L">#REF!</definedName>
    <definedName name="P_L_Materials_cost_PM_1">#REF!</definedName>
    <definedName name="P_L_materials_cost_pm2">#REF!</definedName>
    <definedName name="P_L_PM_1">#REF!</definedName>
    <definedName name="P_L_pm2">#REF!</definedName>
    <definedName name="p_s">#REF!</definedName>
    <definedName name="PaApl_Actual1">#REF!</definedName>
    <definedName name="PaApl_Actual2">#REF!</definedName>
    <definedName name="PaApl_Actual3">#REF!</definedName>
    <definedName name="PaApl_leftHeader">#REF!</definedName>
    <definedName name="PaApl_leftHeader2">#REF!</definedName>
    <definedName name="PaApl_NOABal1_PER5">#REF!</definedName>
    <definedName name="PaApl_NOABal3_PER5">#REF!</definedName>
    <definedName name="PaApl_rightHeader">#REF!</definedName>
    <definedName name="PaApl_rightHeader2">#REF!</definedName>
    <definedName name="PaApl_rightHeader3">#REF!</definedName>
    <definedName name="PaApl_Tax1_PER7">#REF!</definedName>
    <definedName name="PACKING_CONSM">#REF!</definedName>
    <definedName name="page_1">#REF!</definedName>
    <definedName name="page_2">#REF!</definedName>
    <definedName name="PAGE_3">#REF!</definedName>
    <definedName name="Page01">#REF!</definedName>
    <definedName name="Page02">#REF!</definedName>
    <definedName name="Page03">#REF!</definedName>
    <definedName name="Page04">#REF!</definedName>
    <definedName name="Page05">#REF!</definedName>
    <definedName name="Page06">#REF!</definedName>
    <definedName name="Page07">#REF!</definedName>
    <definedName name="Page08">#REF!</definedName>
    <definedName name="Page09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ngkat">#REF!</definedName>
    <definedName name="pangkata">#REF!</definedName>
    <definedName name="Parcel">#REF!</definedName>
    <definedName name="Parcel_Data">#REF!</definedName>
    <definedName name="parcel1">#REF!</definedName>
    <definedName name="ParcelData">#REF!</definedName>
    <definedName name="ParcelData1">#REF!</definedName>
    <definedName name="ParkKolkata">#REF!</definedName>
    <definedName name="pay">#REF!</definedName>
    <definedName name="PBT_RECONCILIATION__BUDGET_VS_ACTUAL">#REF!</definedName>
    <definedName name="pca">#REF!</definedName>
    <definedName name="pcd">#REF!</definedName>
    <definedName name="PD">#REF!</definedName>
    <definedName name="pe">#REF!</definedName>
    <definedName name="PENICILIN_MFG_PACK">#REF!</definedName>
    <definedName name="Performancel_Indicators">#REF!</definedName>
    <definedName name="Period">#REF!</definedName>
    <definedName name="PERQUISITE">#REF!</definedName>
    <definedName name="PERSONNEL_OFF">#REF!</definedName>
    <definedName name="pi">#REF!</definedName>
    <definedName name="PIV">#REF!</definedName>
    <definedName name="pivot">#REF!</definedName>
    <definedName name="pl">#REF!</definedName>
    <definedName name="PLANNING_SUPPLY">#REF!</definedName>
    <definedName name="PlantMachinery">#REF!</definedName>
    <definedName name="PLOT_LOOSE_OIL">#REF!</definedName>
    <definedName name="PLOT_PACKED_OIL">#REF!</definedName>
    <definedName name="pmfat">#REF!</definedName>
    <definedName name="PMINS">#REF!</definedName>
    <definedName name="pnt">#REF!</definedName>
    <definedName name="PO.Detail">#REF!</definedName>
    <definedName name="podetail">#REF!</definedName>
    <definedName name="POL_TGT">#REF!</definedName>
    <definedName name="PostCoA_Assets">#REF!</definedName>
    <definedName name="PostCoA_Liabs">#REF!</definedName>
    <definedName name="PPCREDIT">#REF!</definedName>
    <definedName name="ppd">#REF!</definedName>
    <definedName name="PPDEBIT">#REF!</definedName>
    <definedName name="PPP">#REF!</definedName>
    <definedName name="PPPP">#REF!</definedName>
    <definedName name="ppr">#REF!</definedName>
    <definedName name="PR">#REF!</definedName>
    <definedName name="PRDN_WASTE">#REF!</definedName>
    <definedName name="PRINT_26">#REF!</definedName>
    <definedName name="_xlnm.Print_Area" localSheetId="1">LeaseCalculation!$A$1:$CA$154</definedName>
    <definedName name="_xlnm.Print_Area">#N/A</definedName>
    <definedName name="Print_Area_MI">#REF!</definedName>
    <definedName name="Print_Range">#REF!</definedName>
    <definedName name="_xlnm.Print_Titles">#N/A</definedName>
    <definedName name="PRINT_TITLES_MI">#REF!</definedName>
    <definedName name="PRINT10">#REF!</definedName>
    <definedName name="PRINT11">#REF!</definedName>
    <definedName name="PRINT12">#REF!</definedName>
    <definedName name="PRINT13">#REF!</definedName>
    <definedName name="PRINT14">#REF!</definedName>
    <definedName name="PRINT15">#REF!</definedName>
    <definedName name="PRINT16">#REF!</definedName>
    <definedName name="PRINT17">#REF!</definedName>
    <definedName name="PRINT18">#REF!</definedName>
    <definedName name="PRINT19">#REF!</definedName>
    <definedName name="PRINT2">#REF!</definedName>
    <definedName name="PRINT20">#REF!</definedName>
    <definedName name="PRINT21">#REF!</definedName>
    <definedName name="PRINT22">#REF!</definedName>
    <definedName name="PRINT23">#REF!</definedName>
    <definedName name="PRINT24">#REF!</definedName>
    <definedName name="PRINT25">#REF!</definedName>
    <definedName name="PRINT26">#REF!</definedName>
    <definedName name="PRINT27">#REF!</definedName>
    <definedName name="PRINT28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odconv">#REF!</definedName>
    <definedName name="ProdForm" hidden="1">#REF!</definedName>
    <definedName name="Product" hidden="1">#REF!</definedName>
    <definedName name="PRODUCTION_CLEANING">#REF!</definedName>
    <definedName name="PRODUCTION_OFF">#REF!</definedName>
    <definedName name="PRODUCTIVITY_UNIT">#REF!</definedName>
    <definedName name="profit_loss">#REF!</definedName>
    <definedName name="proforma">#REF!</definedName>
    <definedName name="projconv">#REF!</definedName>
    <definedName name="Project_Categ">"cboxCateg"</definedName>
    <definedName name="Project_Manager">#REF!</definedName>
    <definedName name="Proposal">#REF!</definedName>
    <definedName name="psa">#REF!</definedName>
    <definedName name="pvl">#REF!</definedName>
    <definedName name="pvw">#REF!</definedName>
    <definedName name="PY">#REF!</definedName>
    <definedName name="pyktk">#REF!</definedName>
    <definedName name="Q">#REF!</definedName>
    <definedName name="q4_97">#REF!</definedName>
    <definedName name="qdfqwfqwefqewf">#REF!</definedName>
    <definedName name="qefqefqf" hidden="1">{"PAGE1",#N/A,FALSE,"BSN4";"PAGE2",#N/A,FALSE,"BSN4";"PAGE3",#N/A,FALSE,"BSN4"}</definedName>
    <definedName name="qefqewfqefeq">#REF!</definedName>
    <definedName name="qewfd">#REF!</definedName>
    <definedName name="qewfewfeqwfd" hidden="1">{"PAGE1",#N/A,FALSE,"BSN1";"PAGE2",#N/A,FALSE,"BSN1";"PAGE3",#N/A,FALSE,"BSN1";"PAGE4",#N/A,FALSE,"BSN1";"PAGE5",#N/A,FALSE,"BSN1";"PAGE6",#N/A,FALSE,"BSN1"}</definedName>
    <definedName name="qfqfqfqwef">#REF!</definedName>
    <definedName name="qfqwefqefq" hidden="1">{"'Market &amp; Company Profile'!$H$24:$I$25"}</definedName>
    <definedName name="qfweqfweqfeq" hidden="1">{"'Market &amp; Company Profile'!$H$24:$I$25"}</definedName>
    <definedName name="qgtrweqgqewr" hidden="1">{"PAGE1",#N/A,FALSE,"PLN1";"PAGE2",#N/A,FALSE,"PLN1";"PAGE3",#N/A,FALSE,"PLN1"}</definedName>
    <definedName name="QUALITY_ASSURANCE">#REF!</definedName>
    <definedName name="quote">#REF!</definedName>
    <definedName name="ram">#REF!</definedName>
    <definedName name="RANGE">#N/A</definedName>
    <definedName name="RapportTyp">#REF!</definedName>
    <definedName name="rate">14000</definedName>
    <definedName name="Ratio_Analysis">#REF!</definedName>
    <definedName name="Raw_Materials">#REF!</definedName>
    <definedName name="RawData">#REF!</definedName>
    <definedName name="RB_CL_DIS">#REF!</definedName>
    <definedName name="RC_OROS">#REF!</definedName>
    <definedName name="RCArea" hidden="1">#REF!</definedName>
    <definedName name="reasons">#REF!</definedName>
    <definedName name="reasons1">#REF!</definedName>
    <definedName name="RECOMMENDATION">" "</definedName>
    <definedName name="_xlnm.Recorder">#REF!</definedName>
    <definedName name="REEL">#REF!</definedName>
    <definedName name="REELANTERIEUR">#REF!</definedName>
    <definedName name="reference">#REF!</definedName>
    <definedName name="region10" hidden="1">#REF!</definedName>
    <definedName name="REMUNERATIOEMPLO">#REF!</definedName>
    <definedName name="RENT">#REF!</definedName>
    <definedName name="Report_Title">"Trend eDoctor Virus Diagnostic Report for  Trend_Micro_HK_Limited"</definedName>
    <definedName name="Results">#REF!</definedName>
    <definedName name="rm">#REF!</definedName>
    <definedName name="RM_INTT">#REF!</definedName>
    <definedName name="rmfat">#REF!</definedName>
    <definedName name="ROUGH">#REF!</definedName>
    <definedName name="royalty">#REF!</definedName>
    <definedName name="rr">#N/A</definedName>
    <definedName name="Ruhul">#REF!</definedName>
    <definedName name="s">#REF!</definedName>
    <definedName name="S.M.ENT_LOOSE_OIL">#REF!</definedName>
    <definedName name="S.M.ENT_PACKED_OIL">#REF!</definedName>
    <definedName name="sagosto">#REF!</definedName>
    <definedName name="SALAR">#REF!</definedName>
    <definedName name="Salary">#REF!</definedName>
    <definedName name="SalaryBreakup" hidden="1">{#N/A,#N/A,FALSE,"Sheet1"}</definedName>
    <definedName name="SALES">#REF!</definedName>
    <definedName name="SALES_1">#REF!</definedName>
    <definedName name="SALES_2">#REF!</definedName>
    <definedName name="Sales_PM_1">#REF!</definedName>
    <definedName name="sales_pm2">#REF!</definedName>
    <definedName name="SalesAdj">#REF!</definedName>
    <definedName name="Samples">#REF!</definedName>
    <definedName name="SAPBEXdnldView" hidden="1">"43C8BP1R23H16OM97TXKRXLFW"</definedName>
    <definedName name="SAPBEXrevision" hidden="1">1</definedName>
    <definedName name="SAPBEXsysID" hidden="1">"DPB"</definedName>
    <definedName name="SAPBEXwbID" hidden="1">"3XQ1AF9UZCMMKAA4EDQLDRRBA"</definedName>
    <definedName name="Sawai_Pulp_export">#REF!</definedName>
    <definedName name="SB">#REF!</definedName>
    <definedName name="SC">#REF!</definedName>
    <definedName name="SCAP">#REF!</definedName>
    <definedName name="scc">#REF!</definedName>
    <definedName name="Scenario">#REF!</definedName>
    <definedName name="SCH_1">#REF!</definedName>
    <definedName name="SCH_10_11">#REF!</definedName>
    <definedName name="SCH_12_13">#REF!</definedName>
    <definedName name="SCH_15">#REF!</definedName>
    <definedName name="SCH_2">#REF!</definedName>
    <definedName name="SCH_3">#REF!</definedName>
    <definedName name="SCH_5_6">#REF!</definedName>
    <definedName name="SCH_7_8">#REF!</definedName>
    <definedName name="SCH_9">#REF!</definedName>
    <definedName name="sch_past">#REF!</definedName>
    <definedName name="SCH3_4">#REF!</definedName>
    <definedName name="Schedule_4">#REF!</definedName>
    <definedName name="Schedules">#REF!</definedName>
    <definedName name="SCRAPREAL">#REF!</definedName>
    <definedName name="SD">#REF!</definedName>
    <definedName name="sdf">#REF!</definedName>
    <definedName name="SE_NAME">""</definedName>
    <definedName name="SECH18QTY">#REF!</definedName>
    <definedName name="SECH18VALUE">#REF!</definedName>
    <definedName name="SECH19QTY">#REF!</definedName>
    <definedName name="SECH19VALUE">#REF!</definedName>
    <definedName name="SECLON">#REF!</definedName>
    <definedName name="SECURITY">#REF!</definedName>
    <definedName name="SelectedCurrCoC">#REF!</definedName>
    <definedName name="SelectedCurrLocal">#REF!</definedName>
    <definedName name="SELECTION_GRADE">#REF!</definedName>
    <definedName name="self">#REF!</definedName>
    <definedName name="SELLING">#REF!</definedName>
    <definedName name="send">#REF!</definedName>
    <definedName name="SERVICE">#REF!</definedName>
    <definedName name="Service_Type">"Service Type"</definedName>
    <definedName name="SGA">#REF!</definedName>
    <definedName name="Shameem" hidden="1">{#N/A,#N/A,FALSE,"Sheet1"}</definedName>
    <definedName name="SHDULE5">#REF!</definedName>
    <definedName name="Sheet1">#REF!</definedName>
    <definedName name="SI_NAME">"Trend Micro HK eDoctor"</definedName>
    <definedName name="siel">#REF!</definedName>
    <definedName name="sifc">#REF!</definedName>
    <definedName name="simon">#REF!</definedName>
    <definedName name="SLRY">#REF!</definedName>
    <definedName name="SLRYTDS">#REF!</definedName>
    <definedName name="slss">#REF!</definedName>
    <definedName name="soce">#REF!</definedName>
    <definedName name="SOCIALTOWANSHIP">#REF!</definedName>
    <definedName name="societe">#REF!</definedName>
    <definedName name="south">#REF!</definedName>
    <definedName name="spare">#REF!</definedName>
    <definedName name="SPC">#REF!</definedName>
    <definedName name="SpecialPrice" hidden="1">#REF!</definedName>
    <definedName name="spend">#REF!</definedName>
    <definedName name="ss">#REF!</definedName>
    <definedName name="SS_MaxPattern">"Max Pattern Number "</definedName>
    <definedName name="SS_MaxPattern_1">""</definedName>
    <definedName name="SS_MaxPattern_2">""</definedName>
    <definedName name="SS_MaxPattern_3">""</definedName>
    <definedName name="SS_MaxPattern_4">""</definedName>
    <definedName name="SS_MaxPattern_5">""</definedName>
    <definedName name="SS_MaxPattern_6">""</definedName>
    <definedName name="SS_MinPattern">"Min Pattern Number "</definedName>
    <definedName name="SS_MinPattern_1">""</definedName>
    <definedName name="SS_MinPattern_2">""</definedName>
    <definedName name="SS_MinPattern_3">""</definedName>
    <definedName name="SS_MinPattern_4">""</definedName>
    <definedName name="SS_MinPattern_5">""</definedName>
    <definedName name="SS_MinPattern_6">""</definedName>
    <definedName name="SS_ServerNo">"Number of Serveres "</definedName>
    <definedName name="SS_ServerNo_1">""</definedName>
    <definedName name="SS_ServerNo_2">""</definedName>
    <definedName name="SS_ServerNo_3">""</definedName>
    <definedName name="SS_ServerNo_4">""</definedName>
    <definedName name="SS_ServerNo_5">""</definedName>
    <definedName name="SS_ServerNo_6">""</definedName>
    <definedName name="SS_SiteName">"Site Name"</definedName>
    <definedName name="SS_SiteName_1">""</definedName>
    <definedName name="SS_SiteName_2">""</definedName>
    <definedName name="SS_SiteName_3">""</definedName>
    <definedName name="SS_SiteName_4">""</definedName>
    <definedName name="SS_SiteName_5">""</definedName>
    <definedName name="SS_SiteName_6">""</definedName>
    <definedName name="SS_VirusNo">"Number of Viruses "</definedName>
    <definedName name="SS_VirusNo_1">""</definedName>
    <definedName name="SS_VirusNo_2">""</definedName>
    <definedName name="SS_VirusNo_3">""</definedName>
    <definedName name="SS_VirusNo_4">""</definedName>
    <definedName name="SS_VirusNo_5">""</definedName>
    <definedName name="SS_VirusNo_6">""</definedName>
    <definedName name="sss">#REF!</definedName>
    <definedName name="ssss">#REF!</definedName>
    <definedName name="StartCoC">#REF!</definedName>
    <definedName name="startdate">#REF!</definedName>
    <definedName name="StartLocal">#REF!</definedName>
    <definedName name="Status">#REF!</definedName>
    <definedName name="STORE_CONSM">#REF!</definedName>
    <definedName name="STORES">#REF!</definedName>
    <definedName name="stot">#REF!</definedName>
    <definedName name="stream">#REF!</definedName>
    <definedName name="summury">#REF!</definedName>
    <definedName name="Sumon" hidden="1">{#N/A,#N/A,FALSE,"Sheet1"}</definedName>
    <definedName name="t">#REF!</definedName>
    <definedName name="TABLE_2">#N/A</definedName>
    <definedName name="TABLE2">#REF!</definedName>
    <definedName name="TABLE4">#REF!</definedName>
    <definedName name="TABLETMFG">#REF!</definedName>
    <definedName name="TABLETPACKING">#REF!</definedName>
    <definedName name="taccount">#REF!</definedName>
    <definedName name="tahya" hidden="1">{#N/A,#N/A,FALSE,"Sheet1"}</definedName>
    <definedName name="Tax">#REF!</definedName>
    <definedName name="TaxTV">10%</definedName>
    <definedName name="TaxXL">5%</definedName>
    <definedName name="TB">#REF!</definedName>
    <definedName name="tBL">#REF!</definedName>
    <definedName name="tbl_ProdInfo" hidden="1">#REF!</definedName>
    <definedName name="tboxKVDComment1">"Text Box 50"</definedName>
    <definedName name="tboxKVDComment2">"Text Box 52"</definedName>
    <definedName name="tboxKVDComment3">"Text Box 53"</definedName>
    <definedName name="tboxKVDComment4">"Text Box 54"</definedName>
    <definedName name="tboxKVDComment5">"Text Box 60"</definedName>
    <definedName name="tboxKVDComment6">"Text Box 61"</definedName>
    <definedName name="tboxKVDComment7">"Text Box 55"</definedName>
    <definedName name="tboxKVDComment8">"Text Box 56"</definedName>
    <definedName name="TBU">"RECO"</definedName>
    <definedName name="TDS">#REF!</definedName>
    <definedName name="TDSCHAIT">#REF!</definedName>
    <definedName name="TDSD">#REF!</definedName>
    <definedName name="TDSSAL">#REF!</definedName>
    <definedName name="TED">#REF!</definedName>
    <definedName name="Tel">#REF!</definedName>
    <definedName name="Tele">#REF!</definedName>
    <definedName name="Telephone">"eDoctor"</definedName>
    <definedName name="temp">#REF!</definedName>
    <definedName name="temp1">#REF!</definedName>
    <definedName name="temp2">#REF!</definedName>
    <definedName name="temp3">#REF!</definedName>
    <definedName name="TENDANCE">#REF!</definedName>
    <definedName name="TEST">#REF!</definedName>
    <definedName name="TEST0">#REF!</definedName>
    <definedName name="test01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ext">#REF!,#REF!,#REF!,#REF!,#REF!</definedName>
    <definedName name="thous">#REF!</definedName>
    <definedName name="tmp">#REF!</definedName>
    <definedName name="TOPICAL_MFG">#REF!</definedName>
    <definedName name="TOPICALL_PACKING">#REF!</definedName>
    <definedName name="total">#REF!</definedName>
    <definedName name="TOTALX">#REF!</definedName>
    <definedName name="TOVER">#REF!</definedName>
    <definedName name="TQ" hidden="1">{"'Sheet1'!$L$16"}</definedName>
    <definedName name="Traffic" hidden="1">{"'Market &amp; Company Profile'!$H$24:$I$25"}</definedName>
    <definedName name="trail">#REF!</definedName>
    <definedName name="trail_master">#REF!</definedName>
    <definedName name="TRAINING_UNIT">#REF!</definedName>
    <definedName name="Transaction_Type">#REF!</definedName>
    <definedName name="Transactions">#REF!</definedName>
    <definedName name="TRANSFER_UNIT">#REF!</definedName>
    <definedName name="TRANSPORT_MAIN">#REF!</definedName>
    <definedName name="TRANSPORT_POOL">#REF!</definedName>
    <definedName name="TRIAL">#REF!</definedName>
    <definedName name="Trial_master">#REF!</definedName>
    <definedName name="Trial1">#REF!</definedName>
    <definedName name="Trial2">#REF!</definedName>
    <definedName name="TTSET">#REF!</definedName>
    <definedName name="TTT">#REF!</definedName>
    <definedName name="types">#REF!</definedName>
    <definedName name="UNSLON">#REF!</definedName>
    <definedName name="Untitled">#REF!</definedName>
    <definedName name="uouygsdytyk">#REF!</definedName>
    <definedName name="USD">#REF!</definedName>
    <definedName name="useNotes">#REF!</definedName>
    <definedName name="useText">#REF!</definedName>
    <definedName name="usrCat">#REF!</definedName>
    <definedName name="usrNoteFlag">#REF!</definedName>
    <definedName name="usrNoteRange">#REF!</definedName>
    <definedName name="usrunit">#REF!</definedName>
    <definedName name="usrUnitDesc">#REF!</definedName>
    <definedName name="usrwholeyear">#REF!</definedName>
    <definedName name="uu">#REF!</definedName>
    <definedName name="V">#N/A</definedName>
    <definedName name="V.V.F._Godown">#REF!</definedName>
    <definedName name="Value">#REF!</definedName>
    <definedName name="verifica">#REF!</definedName>
    <definedName name="version">#REF!</definedName>
    <definedName name="vfrt">#REF!</definedName>
    <definedName name="VII_1">#REF!</definedName>
    <definedName name="VII_2">#REF!</definedName>
    <definedName name="VII_3">#REF!</definedName>
    <definedName name="VII_4">#REF!</definedName>
    <definedName name="vl">#REF!</definedName>
    <definedName name="vohfat">#REF!</definedName>
    <definedName name="voliel">#REF!</definedName>
    <definedName name="voluiel">#REF!</definedName>
    <definedName name="volume">#REF!</definedName>
    <definedName name="VW">#REF!</definedName>
    <definedName name="WASTEREAL">#REF!</definedName>
    <definedName name="WCAP">#REF!</definedName>
    <definedName name="wer">#REF!</definedName>
    <definedName name="wergf">#REF!</definedName>
    <definedName name="west">#REF!</definedName>
    <definedName name="WIDIA_INDIALIMITED">#REF!</definedName>
    <definedName name="WIRE1">5</definedName>
    <definedName name="WORKER_SALARY_MAY__SAL_SH_List">#REF!</definedName>
    <definedName name="working" hidden="1">{#N/A,#N/A,FALSE,"Sheet1"}</definedName>
    <definedName name="worksheet">#REF!</definedName>
    <definedName name="wregt">#REF!</definedName>
    <definedName name="wrg3rwtgewrtg" hidden="1">{"PAGE1",#N/A,FALSE,"CF";"PAGE2",#N/A,FALSE,"CF"}</definedName>
    <definedName name="wrn.BAOCAO." hidden="1">{#N/A,#N/A,FALSE,"sum";#N/A,#N/A,FALSE,"MARTV";#N/A,#N/A,FALSE,"APRTV"}</definedName>
    <definedName name="wrn.BSN1." hidden="1">{"PAGE1",#N/A,FALSE,"BSN1";"PAGE2",#N/A,FALSE,"BSN1";"PAGE3",#N/A,FALSE,"BSN1";"PAGE4",#N/A,FALSE,"BSN1";"PAGE5",#N/A,FALSE,"BSN1";"PAGE6",#N/A,FALSE,"BSN1"}</definedName>
    <definedName name="wrn.BSN4." hidden="1">{"PAGE1",#N/A,FALSE,"BSN4";"PAGE2",#N/A,FALSE,"BSN4";"PAGE3",#N/A,FALSE,"BSN4"}</definedName>
    <definedName name="wrn.CF." hidden="1">{"PAGE1",#N/A,FALSE,"CF";"PAGE2",#N/A,FALSE,"CF"}</definedName>
    <definedName name="wrn.chi._.tiÆt." hidden="1">{#N/A,#N/A,FALSE,"Chi tiÆt"}</definedName>
    <definedName name="wrn.datapak." hidden="1">{#N/A,#N/A,FALSE,"Status of Projects";#N/A,#N/A,FALSE,"CEA-TEC";#N/A,#N/A,FALSE,"U-Constr.";#N/A,#N/A,FALSE,"summary";#N/A,#N/A,FALSE,"PPP-3 yrs"}</definedName>
    <definedName name="wrn.PLN1." hidden="1">{"PAGE1",#N/A,FALSE,"PLN1";"PAGE2",#N/A,FALSE,"PLN1";"PAGE3",#N/A,FALSE,"PLN1"}</definedName>
    <definedName name="wrn.PLN2" hidden="1">{"PAGE1",#N/A,FALSE,"PLN1";"PAGE2",#N/A,FALSE,"PLN1";"PAGE3",#N/A,FALSE,"PLN1"}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SALSCLE." hidden="1">{#N/A,#N/A,FALSE,"Sheet1"}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sob1">#REF!</definedName>
    <definedName name="wtax">#REF!</definedName>
    <definedName name="WWW">#REF!</definedName>
    <definedName name="X">#REF!</definedName>
    <definedName name="XCCT">0.5</definedName>
    <definedName name="xxx" hidden="1">{#N/A,#N/A,FALSE,"Status of Projects";#N/A,#N/A,FALSE,"CEA-TEC";#N/A,#N/A,FALSE,"U-Constr.";#N/A,#N/A,FALSE,"summary";#N/A,#N/A,FALSE,"PPP-3 yrs"}</definedName>
    <definedName name="XXXXXX_DummyName">#REF!</definedName>
    <definedName name="Y">#REF!</definedName>
    <definedName name="Year">#REF!</definedName>
    <definedName name="Yr">#REF!</definedName>
    <definedName name="YY">#N/A</definedName>
    <definedName name="z">#REF!</definedName>
    <definedName name="Z_4BE18161_0006_11D5_B0D7_D244B54CAAA9_.wvu.Cols" hidden="1">#REF!</definedName>
    <definedName name="zb2000_ac">#REF!</definedName>
    <definedName name="zbacc">#REF!</definedName>
    <definedName name="zbhmr">#REF!</definedName>
    <definedName name="ZERO">#REF!</definedName>
    <definedName name="ZERO_AT_START">#REF!</definedName>
    <definedName name="ZERO_INPUT">#REF!</definedName>
    <definedName name="Zone_impres_MI">#REF!</definedName>
    <definedName name="zytw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3" i="1" l="1"/>
  <c r="Z113" i="1" s="1"/>
  <c r="E113" i="1"/>
  <c r="Z112" i="1"/>
  <c r="M112" i="1"/>
  <c r="Z111" i="1"/>
  <c r="M111" i="1"/>
  <c r="M110" i="1"/>
  <c r="Z110" i="1" s="1"/>
  <c r="Z109" i="1"/>
  <c r="M109" i="1"/>
  <c r="M108" i="1"/>
  <c r="Z108" i="1" s="1"/>
  <c r="M107" i="1"/>
  <c r="Z107" i="1" s="1"/>
  <c r="Z106" i="1"/>
  <c r="M106" i="1"/>
  <c r="Z105" i="1"/>
  <c r="M105" i="1"/>
  <c r="M104" i="1"/>
  <c r="Z104" i="1" s="1"/>
  <c r="Z103" i="1"/>
  <c r="M103" i="1"/>
  <c r="M102" i="1"/>
  <c r="Z102" i="1" s="1"/>
  <c r="M101" i="1"/>
  <c r="Z101" i="1" s="1"/>
  <c r="M100" i="1"/>
  <c r="Z100" i="1" s="1"/>
  <c r="M99" i="1"/>
  <c r="Z99" i="1" s="1"/>
  <c r="M98" i="1"/>
  <c r="Z98" i="1" s="1"/>
  <c r="Z97" i="1"/>
  <c r="M97" i="1"/>
  <c r="Z96" i="1"/>
  <c r="M96" i="1"/>
  <c r="M95" i="1"/>
  <c r="Z95" i="1" s="1"/>
  <c r="Z94" i="1"/>
  <c r="M94" i="1"/>
  <c r="Z93" i="1"/>
  <c r="M93" i="1"/>
  <c r="M92" i="1"/>
  <c r="Z92" i="1" s="1"/>
  <c r="M91" i="1"/>
  <c r="Z91" i="1" s="1"/>
  <c r="M90" i="1"/>
  <c r="Z90" i="1" s="1"/>
  <c r="M89" i="1"/>
  <c r="Z89" i="1" s="1"/>
  <c r="M88" i="1"/>
  <c r="Z88" i="1" s="1"/>
  <c r="M87" i="1"/>
  <c r="Z87" i="1" s="1"/>
  <c r="M86" i="1"/>
  <c r="Z86" i="1" s="1"/>
  <c r="M85" i="1"/>
  <c r="Z85" i="1" s="1"/>
  <c r="M84" i="1"/>
  <c r="Z84" i="1" s="1"/>
  <c r="M83" i="1"/>
  <c r="Z83" i="1" s="1"/>
  <c r="M82" i="1"/>
  <c r="Z82" i="1" s="1"/>
  <c r="M81" i="1"/>
  <c r="Z81" i="1" s="1"/>
  <c r="M80" i="1"/>
  <c r="Z80" i="1" s="1"/>
  <c r="M79" i="1"/>
  <c r="Z79" i="1" s="1"/>
  <c r="D79" i="1"/>
  <c r="D80" i="1" s="1"/>
  <c r="O78" i="1"/>
  <c r="M78" i="1"/>
  <c r="Z78" i="1" s="1"/>
  <c r="G78" i="1"/>
  <c r="M77" i="1"/>
  <c r="Z77" i="1" s="1"/>
  <c r="M76" i="1"/>
  <c r="Z76" i="1" s="1"/>
  <c r="M75" i="1"/>
  <c r="Z75" i="1" s="1"/>
  <c r="M74" i="1"/>
  <c r="Z74" i="1" s="1"/>
  <c r="M73" i="1"/>
  <c r="Z73" i="1" s="1"/>
  <c r="M72" i="1"/>
  <c r="Z72" i="1" s="1"/>
  <c r="M71" i="1"/>
  <c r="Z71" i="1" s="1"/>
  <c r="M70" i="1"/>
  <c r="Z70" i="1" s="1"/>
  <c r="M69" i="1"/>
  <c r="Z69" i="1" s="1"/>
  <c r="M68" i="1"/>
  <c r="Z68" i="1" s="1"/>
  <c r="M67" i="1"/>
  <c r="Z67" i="1" s="1"/>
  <c r="M66" i="1"/>
  <c r="Z66" i="1" s="1"/>
  <c r="M65" i="1"/>
  <c r="Z65" i="1" s="1"/>
  <c r="M64" i="1"/>
  <c r="Z64" i="1" s="1"/>
  <c r="M63" i="1"/>
  <c r="Z63" i="1" s="1"/>
  <c r="M62" i="1"/>
  <c r="Z62" i="1" s="1"/>
  <c r="M61" i="1"/>
  <c r="Z61" i="1" s="1"/>
  <c r="M60" i="1"/>
  <c r="Z60" i="1" s="1"/>
  <c r="M59" i="1"/>
  <c r="Z59" i="1" s="1"/>
  <c r="M58" i="1"/>
  <c r="Z58" i="1" s="1"/>
  <c r="M57" i="1"/>
  <c r="Z57" i="1" s="1"/>
  <c r="M56" i="1"/>
  <c r="Z56" i="1" s="1"/>
  <c r="M55" i="1"/>
  <c r="Z55" i="1" s="1"/>
  <c r="M54" i="1"/>
  <c r="Z54" i="1" s="1"/>
  <c r="M53" i="1"/>
  <c r="Z53" i="1" s="1"/>
  <c r="M52" i="1"/>
  <c r="Z52" i="1" s="1"/>
  <c r="M51" i="1"/>
  <c r="Z51" i="1" s="1"/>
  <c r="M50" i="1"/>
  <c r="Z50" i="1" s="1"/>
  <c r="M49" i="1"/>
  <c r="Z49" i="1" s="1"/>
  <c r="M48" i="1"/>
  <c r="Z48" i="1" s="1"/>
  <c r="M47" i="1"/>
  <c r="Z47" i="1" s="1"/>
  <c r="M46" i="1"/>
  <c r="Z46" i="1" s="1"/>
  <c r="M45" i="1"/>
  <c r="Z45" i="1" s="1"/>
  <c r="M44" i="1"/>
  <c r="Z44" i="1" s="1"/>
  <c r="Z43" i="1"/>
  <c r="M43" i="1"/>
  <c r="D43" i="1"/>
  <c r="B43" i="1"/>
  <c r="Z42" i="1"/>
  <c r="Y42" i="1"/>
  <c r="T42" i="1"/>
  <c r="P42" i="1"/>
  <c r="Q42" i="1" s="1"/>
  <c r="O42" i="1"/>
  <c r="M42" i="1"/>
  <c r="L42" i="1"/>
  <c r="I42" i="1"/>
  <c r="H42" i="1"/>
  <c r="D42" i="1"/>
  <c r="G42" i="1" s="1"/>
  <c r="H36" i="1"/>
  <c r="G36" i="1"/>
  <c r="F36" i="1"/>
  <c r="C36" i="1"/>
  <c r="K35" i="1"/>
  <c r="F12" i="1"/>
  <c r="E10" i="1"/>
  <c r="E9" i="1"/>
  <c r="E7" i="1"/>
  <c r="F42" i="1" l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D17" i="1"/>
  <c r="V42" i="1"/>
  <c r="D81" i="1"/>
  <c r="G80" i="1"/>
  <c r="H43" i="1"/>
  <c r="I43" i="1" s="1"/>
  <c r="T43" i="1"/>
  <c r="Y43" i="1" s="1"/>
  <c r="B44" i="1"/>
  <c r="G43" i="1"/>
  <c r="D44" i="1"/>
  <c r="L43" i="1"/>
  <c r="J34" i="1"/>
  <c r="J42" i="1"/>
  <c r="G79" i="1"/>
  <c r="O43" i="1" l="1"/>
  <c r="J43" i="1"/>
  <c r="E23" i="1"/>
  <c r="O80" i="1"/>
  <c r="D82" i="1"/>
  <c r="G81" i="1"/>
  <c r="H44" i="1"/>
  <c r="I44" i="1" s="1"/>
  <c r="T44" i="1"/>
  <c r="Y44" i="1" s="1"/>
  <c r="L44" i="1"/>
  <c r="B45" i="1"/>
  <c r="O79" i="1"/>
  <c r="K34" i="1"/>
  <c r="J36" i="1"/>
  <c r="G44" i="1"/>
  <c r="D45" i="1"/>
  <c r="G45" i="1" l="1"/>
  <c r="D46" i="1"/>
  <c r="O81" i="1"/>
  <c r="J44" i="1"/>
  <c r="O44" i="1"/>
  <c r="G82" i="1"/>
  <c r="D83" i="1"/>
  <c r="L45" i="1"/>
  <c r="H45" i="1"/>
  <c r="I45" i="1" s="1"/>
  <c r="T45" i="1"/>
  <c r="Y45" i="1" s="1"/>
  <c r="B46" i="1"/>
  <c r="G83" i="1" l="1"/>
  <c r="D84" i="1"/>
  <c r="O82" i="1"/>
  <c r="L46" i="1"/>
  <c r="H46" i="1"/>
  <c r="I46" i="1" s="1"/>
  <c r="B47" i="1"/>
  <c r="T46" i="1"/>
  <c r="Y46" i="1" s="1"/>
  <c r="D47" i="1"/>
  <c r="G46" i="1"/>
  <c r="O45" i="1"/>
  <c r="J45" i="1"/>
  <c r="L47" i="1" l="1"/>
  <c r="B48" i="1"/>
  <c r="H47" i="1"/>
  <c r="I47" i="1" s="1"/>
  <c r="T47" i="1"/>
  <c r="Y47" i="1" s="1"/>
  <c r="D85" i="1"/>
  <c r="G84" i="1"/>
  <c r="D48" i="1"/>
  <c r="G47" i="1"/>
  <c r="J46" i="1"/>
  <c r="O46" i="1"/>
  <c r="O83" i="1"/>
  <c r="L48" i="1" l="1"/>
  <c r="H48" i="1"/>
  <c r="I48" i="1" s="1"/>
  <c r="B49" i="1"/>
  <c r="T48" i="1"/>
  <c r="Y48" i="1" s="1"/>
  <c r="J47" i="1"/>
  <c r="O47" i="1"/>
  <c r="G48" i="1"/>
  <c r="D49" i="1"/>
  <c r="O84" i="1"/>
  <c r="G85" i="1"/>
  <c r="D86" i="1"/>
  <c r="L49" i="1" l="1"/>
  <c r="H49" i="1"/>
  <c r="I49" i="1" s="1"/>
  <c r="B50" i="1"/>
  <c r="T49" i="1"/>
  <c r="Y49" i="1" s="1"/>
  <c r="D50" i="1"/>
  <c r="G49" i="1"/>
  <c r="D87" i="1"/>
  <c r="G86" i="1"/>
  <c r="O85" i="1"/>
  <c r="J48" i="1"/>
  <c r="O48" i="1"/>
  <c r="J49" i="1" l="1"/>
  <c r="O49" i="1"/>
  <c r="G87" i="1"/>
  <c r="D88" i="1"/>
  <c r="D51" i="1"/>
  <c r="G50" i="1"/>
  <c r="L50" i="1"/>
  <c r="H50" i="1"/>
  <c r="I50" i="1" s="1"/>
  <c r="B51" i="1"/>
  <c r="T50" i="1"/>
  <c r="Y50" i="1" s="1"/>
  <c r="O86" i="1"/>
  <c r="L51" i="1" l="1"/>
  <c r="H51" i="1"/>
  <c r="I51" i="1" s="1"/>
  <c r="B52" i="1"/>
  <c r="T51" i="1"/>
  <c r="Y51" i="1" s="1"/>
  <c r="G51" i="1"/>
  <c r="D52" i="1"/>
  <c r="J50" i="1"/>
  <c r="O50" i="1"/>
  <c r="G88" i="1"/>
  <c r="D89" i="1"/>
  <c r="O87" i="1"/>
  <c r="O88" i="1" l="1"/>
  <c r="D53" i="1"/>
  <c r="G52" i="1"/>
  <c r="L52" i="1"/>
  <c r="H52" i="1"/>
  <c r="I52" i="1" s="1"/>
  <c r="B53" i="1"/>
  <c r="T52" i="1"/>
  <c r="Y52" i="1" s="1"/>
  <c r="G89" i="1"/>
  <c r="D90" i="1"/>
  <c r="J51" i="1"/>
  <c r="O51" i="1"/>
  <c r="G90" i="1" l="1"/>
  <c r="D91" i="1"/>
  <c r="D54" i="1"/>
  <c r="G53" i="1"/>
  <c r="L53" i="1"/>
  <c r="T53" i="1"/>
  <c r="Y53" i="1" s="1"/>
  <c r="B54" i="1"/>
  <c r="H53" i="1"/>
  <c r="I53" i="1" s="1"/>
  <c r="O89" i="1"/>
  <c r="J52" i="1"/>
  <c r="O52" i="1"/>
  <c r="L54" i="1" l="1"/>
  <c r="T54" i="1"/>
  <c r="Y54" i="1" s="1"/>
  <c r="B55" i="1"/>
  <c r="H54" i="1"/>
  <c r="I54" i="1" s="1"/>
  <c r="J53" i="1"/>
  <c r="O53" i="1"/>
  <c r="G54" i="1"/>
  <c r="D55" i="1"/>
  <c r="D92" i="1"/>
  <c r="G91" i="1"/>
  <c r="O90" i="1"/>
  <c r="D56" i="1" l="1"/>
  <c r="G55" i="1"/>
  <c r="O91" i="1"/>
  <c r="J54" i="1"/>
  <c r="O54" i="1"/>
  <c r="G92" i="1"/>
  <c r="D93" i="1"/>
  <c r="L55" i="1"/>
  <c r="T55" i="1"/>
  <c r="Y55" i="1" s="1"/>
  <c r="B56" i="1"/>
  <c r="H55" i="1"/>
  <c r="I55" i="1" s="1"/>
  <c r="G93" i="1" l="1"/>
  <c r="D94" i="1"/>
  <c r="O92" i="1"/>
  <c r="L56" i="1"/>
  <c r="B57" i="1"/>
  <c r="T56" i="1"/>
  <c r="Y56" i="1" s="1"/>
  <c r="H56" i="1"/>
  <c r="I56" i="1" s="1"/>
  <c r="J55" i="1"/>
  <c r="O55" i="1"/>
  <c r="D57" i="1"/>
  <c r="G56" i="1"/>
  <c r="G57" i="1" l="1"/>
  <c r="D58" i="1"/>
  <c r="G94" i="1"/>
  <c r="D95" i="1"/>
  <c r="L57" i="1"/>
  <c r="T57" i="1"/>
  <c r="Y57" i="1" s="1"/>
  <c r="B58" i="1"/>
  <c r="H57" i="1"/>
  <c r="I57" i="1" s="1"/>
  <c r="J56" i="1"/>
  <c r="O56" i="1"/>
  <c r="O93" i="1"/>
  <c r="G58" i="1" l="1"/>
  <c r="D59" i="1"/>
  <c r="J57" i="1"/>
  <c r="O57" i="1"/>
  <c r="L58" i="1"/>
  <c r="T58" i="1"/>
  <c r="Y58" i="1" s="1"/>
  <c r="H58" i="1"/>
  <c r="I58" i="1" s="1"/>
  <c r="B59" i="1"/>
  <c r="G95" i="1"/>
  <c r="D96" i="1"/>
  <c r="O94" i="1"/>
  <c r="D60" i="1" l="1"/>
  <c r="G59" i="1"/>
  <c r="J58" i="1"/>
  <c r="O58" i="1"/>
  <c r="O95" i="1"/>
  <c r="L59" i="1"/>
  <c r="B60" i="1"/>
  <c r="T59" i="1"/>
  <c r="Y59" i="1" s="1"/>
  <c r="H59" i="1"/>
  <c r="I59" i="1" s="1"/>
  <c r="G96" i="1"/>
  <c r="D97" i="1"/>
  <c r="L60" i="1" l="1"/>
  <c r="B61" i="1"/>
  <c r="H60" i="1"/>
  <c r="I60" i="1" s="1"/>
  <c r="T60" i="1"/>
  <c r="Y60" i="1" s="1"/>
  <c r="G97" i="1"/>
  <c r="D98" i="1"/>
  <c r="O96" i="1"/>
  <c r="G60" i="1"/>
  <c r="D61" i="1"/>
  <c r="J59" i="1"/>
  <c r="O59" i="1"/>
  <c r="G61" i="1" l="1"/>
  <c r="D62" i="1"/>
  <c r="J60" i="1"/>
  <c r="O60" i="1"/>
  <c r="G98" i="1"/>
  <c r="D99" i="1"/>
  <c r="O97" i="1"/>
  <c r="L61" i="1"/>
  <c r="T61" i="1"/>
  <c r="Y61" i="1" s="1"/>
  <c r="H61" i="1"/>
  <c r="I61" i="1" s="1"/>
  <c r="B62" i="1"/>
  <c r="L62" i="1" l="1"/>
  <c r="T62" i="1"/>
  <c r="Y62" i="1" s="1"/>
  <c r="H62" i="1"/>
  <c r="I62" i="1" s="1"/>
  <c r="B63" i="1"/>
  <c r="O98" i="1"/>
  <c r="D63" i="1"/>
  <c r="G62" i="1"/>
  <c r="G99" i="1"/>
  <c r="D100" i="1"/>
  <c r="J61" i="1"/>
  <c r="O61" i="1"/>
  <c r="G100" i="1" l="1"/>
  <c r="D101" i="1"/>
  <c r="G63" i="1"/>
  <c r="D64" i="1"/>
  <c r="L63" i="1"/>
  <c r="B64" i="1"/>
  <c r="H63" i="1"/>
  <c r="I63" i="1" s="1"/>
  <c r="T63" i="1"/>
  <c r="Y63" i="1" s="1"/>
  <c r="O99" i="1"/>
  <c r="J62" i="1"/>
  <c r="O62" i="1"/>
  <c r="L64" i="1" l="1"/>
  <c r="H64" i="1"/>
  <c r="I64" i="1" s="1"/>
  <c r="B65" i="1"/>
  <c r="T64" i="1"/>
  <c r="Y64" i="1" s="1"/>
  <c r="G64" i="1"/>
  <c r="D65" i="1"/>
  <c r="J63" i="1"/>
  <c r="O63" i="1"/>
  <c r="G101" i="1"/>
  <c r="D102" i="1"/>
  <c r="O100" i="1"/>
  <c r="G102" i="1" l="1"/>
  <c r="D103" i="1"/>
  <c r="O101" i="1"/>
  <c r="D66" i="1"/>
  <c r="G65" i="1"/>
  <c r="J64" i="1"/>
  <c r="O64" i="1"/>
  <c r="L65" i="1"/>
  <c r="T65" i="1"/>
  <c r="Y65" i="1" s="1"/>
  <c r="H65" i="1"/>
  <c r="I65" i="1" s="1"/>
  <c r="B66" i="1"/>
  <c r="J65" i="1" l="1"/>
  <c r="O65" i="1"/>
  <c r="G66" i="1"/>
  <c r="D67" i="1"/>
  <c r="L66" i="1"/>
  <c r="H66" i="1"/>
  <c r="I66" i="1" s="1"/>
  <c r="B67" i="1"/>
  <c r="T66" i="1"/>
  <c r="Y66" i="1" s="1"/>
  <c r="G103" i="1"/>
  <c r="D104" i="1"/>
  <c r="O102" i="1"/>
  <c r="O103" i="1" l="1"/>
  <c r="L67" i="1"/>
  <c r="H67" i="1"/>
  <c r="I67" i="1" s="1"/>
  <c r="B68" i="1"/>
  <c r="T67" i="1"/>
  <c r="Y67" i="1" s="1"/>
  <c r="D68" i="1"/>
  <c r="G67" i="1"/>
  <c r="J66" i="1"/>
  <c r="O66" i="1"/>
  <c r="D105" i="1"/>
  <c r="G104" i="1"/>
  <c r="J67" i="1" l="1"/>
  <c r="O67" i="1"/>
  <c r="D69" i="1"/>
  <c r="G68" i="1"/>
  <c r="L68" i="1"/>
  <c r="T68" i="1"/>
  <c r="Y68" i="1" s="1"/>
  <c r="H68" i="1"/>
  <c r="I68" i="1" s="1"/>
  <c r="B69" i="1"/>
  <c r="O104" i="1"/>
  <c r="D106" i="1"/>
  <c r="G105" i="1"/>
  <c r="G69" i="1" l="1"/>
  <c r="D70" i="1"/>
  <c r="L69" i="1"/>
  <c r="T69" i="1"/>
  <c r="Y69" i="1" s="1"/>
  <c r="B70" i="1"/>
  <c r="H69" i="1"/>
  <c r="I69" i="1" s="1"/>
  <c r="J68" i="1"/>
  <c r="O68" i="1"/>
  <c r="O105" i="1"/>
  <c r="D107" i="1"/>
  <c r="G106" i="1"/>
  <c r="L70" i="1" l="1"/>
  <c r="H70" i="1"/>
  <c r="I70" i="1" s="1"/>
  <c r="T70" i="1"/>
  <c r="Y70" i="1" s="1"/>
  <c r="B71" i="1"/>
  <c r="O106" i="1"/>
  <c r="D108" i="1"/>
  <c r="G107" i="1"/>
  <c r="D71" i="1"/>
  <c r="G70" i="1"/>
  <c r="J69" i="1"/>
  <c r="O69" i="1"/>
  <c r="D72" i="1" l="1"/>
  <c r="G71" i="1"/>
  <c r="G108" i="1"/>
  <c r="D109" i="1"/>
  <c r="L71" i="1"/>
  <c r="T71" i="1"/>
  <c r="Y71" i="1" s="1"/>
  <c r="B72" i="1"/>
  <c r="H71" i="1"/>
  <c r="I71" i="1" s="1"/>
  <c r="O107" i="1"/>
  <c r="J70" i="1"/>
  <c r="O70" i="1"/>
  <c r="L72" i="1" l="1"/>
  <c r="T72" i="1"/>
  <c r="Y72" i="1" s="1"/>
  <c r="H72" i="1"/>
  <c r="I72" i="1" s="1"/>
  <c r="B73" i="1"/>
  <c r="G109" i="1"/>
  <c r="D110" i="1"/>
  <c r="O108" i="1"/>
  <c r="J71" i="1"/>
  <c r="O71" i="1"/>
  <c r="G72" i="1"/>
  <c r="D73" i="1"/>
  <c r="D111" i="1" l="1"/>
  <c r="G110" i="1"/>
  <c r="L73" i="1"/>
  <c r="T73" i="1"/>
  <c r="Y73" i="1" s="1"/>
  <c r="H73" i="1"/>
  <c r="I73" i="1" s="1"/>
  <c r="B74" i="1"/>
  <c r="O109" i="1"/>
  <c r="D74" i="1"/>
  <c r="G73" i="1"/>
  <c r="J72" i="1"/>
  <c r="O72" i="1"/>
  <c r="L74" i="1" l="1"/>
  <c r="B75" i="1"/>
  <c r="T74" i="1"/>
  <c r="Y74" i="1" s="1"/>
  <c r="H74" i="1"/>
  <c r="I74" i="1" s="1"/>
  <c r="D112" i="1"/>
  <c r="G111" i="1"/>
  <c r="D75" i="1"/>
  <c r="G74" i="1"/>
  <c r="O110" i="1"/>
  <c r="J73" i="1"/>
  <c r="O73" i="1"/>
  <c r="D113" i="1" l="1"/>
  <c r="G113" i="1" s="1"/>
  <c r="G112" i="1"/>
  <c r="L75" i="1"/>
  <c r="T75" i="1"/>
  <c r="Y75" i="1" s="1"/>
  <c r="H75" i="1"/>
  <c r="I75" i="1" s="1"/>
  <c r="B76" i="1"/>
  <c r="G75" i="1"/>
  <c r="D76" i="1"/>
  <c r="O111" i="1"/>
  <c r="J74" i="1"/>
  <c r="O74" i="1"/>
  <c r="J75" i="1" l="1"/>
  <c r="O75" i="1"/>
  <c r="G76" i="1"/>
  <c r="D77" i="1"/>
  <c r="G77" i="1" s="1"/>
  <c r="O112" i="1"/>
  <c r="L76" i="1"/>
  <c r="T76" i="1"/>
  <c r="Y76" i="1" s="1"/>
  <c r="H76" i="1"/>
  <c r="I76" i="1" s="1"/>
  <c r="B77" i="1"/>
  <c r="O113" i="1"/>
  <c r="H125" i="1" a="1"/>
  <c r="BW133" i="1" l="1"/>
  <c r="BK133" i="1"/>
  <c r="BV133" i="1"/>
  <c r="BJ133" i="1"/>
  <c r="AX133" i="1"/>
  <c r="AL133" i="1"/>
  <c r="Z133" i="1"/>
  <c r="N133" i="1"/>
  <c r="BV130" i="1"/>
  <c r="BV141" i="1" s="1"/>
  <c r="BJ130" i="1"/>
  <c r="BJ141" i="1" s="1"/>
  <c r="AX130" i="1"/>
  <c r="AX141" i="1" s="1"/>
  <c r="AL130" i="1"/>
  <c r="AL141" i="1" s="1"/>
  <c r="Z130" i="1"/>
  <c r="Z141" i="1" s="1"/>
  <c r="N130" i="1"/>
  <c r="N141" i="1" s="1"/>
  <c r="BU133" i="1"/>
  <c r="BI133" i="1"/>
  <c r="AW133" i="1"/>
  <c r="AK133" i="1"/>
  <c r="Y133" i="1"/>
  <c r="M133" i="1"/>
  <c r="BU130" i="1"/>
  <c r="BU141" i="1" s="1"/>
  <c r="BI130" i="1"/>
  <c r="BI141" i="1" s="1"/>
  <c r="AW130" i="1"/>
  <c r="AW141" i="1" s="1"/>
  <c r="AK130" i="1"/>
  <c r="AK141" i="1" s="1"/>
  <c r="Y130" i="1"/>
  <c r="Y141" i="1" s="1"/>
  <c r="M130" i="1"/>
  <c r="M141" i="1" s="1"/>
  <c r="CA133" i="1"/>
  <c r="BL133" i="1"/>
  <c r="AU133" i="1"/>
  <c r="AG133" i="1"/>
  <c r="S133" i="1"/>
  <c r="BY130" i="1"/>
  <c r="BY141" i="1" s="1"/>
  <c r="BK130" i="1"/>
  <c r="BK141" i="1" s="1"/>
  <c r="AU130" i="1"/>
  <c r="AU141" i="1" s="1"/>
  <c r="AG130" i="1"/>
  <c r="AG141" i="1" s="1"/>
  <c r="S130" i="1"/>
  <c r="S141" i="1" s="1"/>
  <c r="BZ133" i="1"/>
  <c r="BH133" i="1"/>
  <c r="AT133" i="1"/>
  <c r="AF133" i="1"/>
  <c r="R133" i="1"/>
  <c r="BX130" i="1"/>
  <c r="BX141" i="1" s="1"/>
  <c r="BH130" i="1"/>
  <c r="BH141" i="1" s="1"/>
  <c r="AT130" i="1"/>
  <c r="AT141" i="1" s="1"/>
  <c r="AF130" i="1"/>
  <c r="AF141" i="1" s="1"/>
  <c r="R130" i="1"/>
  <c r="R141" i="1" s="1"/>
  <c r="BY133" i="1"/>
  <c r="BG133" i="1"/>
  <c r="AS133" i="1"/>
  <c r="AE133" i="1"/>
  <c r="Q133" i="1"/>
  <c r="BW130" i="1"/>
  <c r="BW141" i="1" s="1"/>
  <c r="BG130" i="1"/>
  <c r="BG141" i="1" s="1"/>
  <c r="AS130" i="1"/>
  <c r="AS141" i="1" s="1"/>
  <c r="AE130" i="1"/>
  <c r="AE141" i="1" s="1"/>
  <c r="Q130" i="1"/>
  <c r="Q141" i="1" s="1"/>
  <c r="BF133" i="1"/>
  <c r="AO133" i="1"/>
  <c r="V133" i="1"/>
  <c r="BQ130" i="1"/>
  <c r="BQ141" i="1" s="1"/>
  <c r="AZ130" i="1"/>
  <c r="AZ141" i="1" s="1"/>
  <c r="AD130" i="1"/>
  <c r="AD141" i="1" s="1"/>
  <c r="K130" i="1"/>
  <c r="K141" i="1" s="1"/>
  <c r="BE133" i="1"/>
  <c r="AN133" i="1"/>
  <c r="U133" i="1"/>
  <c r="BP130" i="1"/>
  <c r="BP141" i="1" s="1"/>
  <c r="AY130" i="1"/>
  <c r="AY141" i="1" s="1"/>
  <c r="AC130" i="1"/>
  <c r="AC141" i="1" s="1"/>
  <c r="J130" i="1"/>
  <c r="J141" i="1" s="1"/>
  <c r="BD133" i="1"/>
  <c r="AM133" i="1"/>
  <c r="T133" i="1"/>
  <c r="BO130" i="1"/>
  <c r="BO141" i="1" s="1"/>
  <c r="AV130" i="1"/>
  <c r="AV141" i="1" s="1"/>
  <c r="AB130" i="1"/>
  <c r="AB141" i="1" s="1"/>
  <c r="I130" i="1"/>
  <c r="I141" i="1" s="1"/>
  <c r="BX133" i="1"/>
  <c r="AZ133" i="1"/>
  <c r="AA133" i="1"/>
  <c r="BN130" i="1"/>
  <c r="BN141" i="1" s="1"/>
  <c r="AO130" i="1"/>
  <c r="AO141" i="1" s="1"/>
  <c r="P130" i="1"/>
  <c r="P141" i="1" s="1"/>
  <c r="BT133" i="1"/>
  <c r="AY133" i="1"/>
  <c r="X133" i="1"/>
  <c r="BM130" i="1"/>
  <c r="BM141" i="1" s="1"/>
  <c r="AN130" i="1"/>
  <c r="AN141" i="1" s="1"/>
  <c r="O130" i="1"/>
  <c r="O141" i="1" s="1"/>
  <c r="BS133" i="1"/>
  <c r="AV133" i="1"/>
  <c r="W133" i="1"/>
  <c r="BL130" i="1"/>
  <c r="BL141" i="1" s="1"/>
  <c r="AM130" i="1"/>
  <c r="AM141" i="1" s="1"/>
  <c r="L130" i="1"/>
  <c r="L141" i="1" s="1"/>
  <c r="AR133" i="1"/>
  <c r="K133" i="1"/>
  <c r="BC130" i="1"/>
  <c r="BC141" i="1" s="1"/>
  <c r="V130" i="1"/>
  <c r="V141" i="1" s="1"/>
  <c r="AQ133" i="1"/>
  <c r="J133" i="1"/>
  <c r="BB130" i="1"/>
  <c r="BB141" i="1" s="1"/>
  <c r="U130" i="1"/>
  <c r="U141" i="1" s="1"/>
  <c r="AP133" i="1"/>
  <c r="I133" i="1"/>
  <c r="BA130" i="1"/>
  <c r="BA141" i="1" s="1"/>
  <c r="T130" i="1"/>
  <c r="T141" i="1" s="1"/>
  <c r="BR133" i="1"/>
  <c r="AJ133" i="1"/>
  <c r="AR130" i="1"/>
  <c r="AR141" i="1" s="1"/>
  <c r="AI133" i="1"/>
  <c r="AH130" i="1"/>
  <c r="AH141" i="1" s="1"/>
  <c r="AD133" i="1"/>
  <c r="BT130" i="1"/>
  <c r="BT141" i="1" s="1"/>
  <c r="X130" i="1"/>
  <c r="X141" i="1" s="1"/>
  <c r="P133" i="1"/>
  <c r="AP130" i="1"/>
  <c r="AP141" i="1" s="1"/>
  <c r="BN133" i="1"/>
  <c r="W130" i="1"/>
  <c r="W141" i="1" s="1"/>
  <c r="BQ133" i="1"/>
  <c r="O133" i="1"/>
  <c r="AJ130" i="1"/>
  <c r="AJ141" i="1" s="1"/>
  <c r="BP133" i="1"/>
  <c r="L133" i="1"/>
  <c r="AI130" i="1"/>
  <c r="AI141" i="1" s="1"/>
  <c r="BM133" i="1"/>
  <c r="BO133" i="1"/>
  <c r="AA130" i="1"/>
  <c r="AA141" i="1" s="1"/>
  <c r="H125" i="1"/>
  <c r="BC133" i="1"/>
  <c r="BS130" i="1"/>
  <c r="BS141" i="1" s="1"/>
  <c r="BR130" i="1"/>
  <c r="BR141" i="1" s="1"/>
  <c r="BF130" i="1"/>
  <c r="BF141" i="1" s="1"/>
  <c r="BB133" i="1"/>
  <c r="BE130" i="1"/>
  <c r="BE141" i="1" s="1"/>
  <c r="AC133" i="1"/>
  <c r="AB133" i="1"/>
  <c r="BA133" i="1"/>
  <c r="AH133" i="1"/>
  <c r="BD130" i="1"/>
  <c r="BD141" i="1" s="1"/>
  <c r="AQ130" i="1"/>
  <c r="AQ141" i="1" s="1"/>
  <c r="J77" i="1"/>
  <c r="O77" i="1"/>
  <c r="J76" i="1"/>
  <c r="O76" i="1"/>
  <c r="L77" i="1"/>
  <c r="B78" i="1"/>
  <c r="H77" i="1"/>
  <c r="I77" i="1" s="1"/>
  <c r="T77" i="1"/>
  <c r="Y77" i="1" s="1"/>
  <c r="I134" i="1" l="1"/>
  <c r="I142" i="1" s="1"/>
  <c r="I140" i="1"/>
  <c r="BD140" i="1"/>
  <c r="BD134" i="1"/>
  <c r="BD142" i="1" s="1"/>
  <c r="AF134" i="1"/>
  <c r="AF142" i="1" s="1"/>
  <c r="AF140" i="1"/>
  <c r="BX134" i="1"/>
  <c r="BX142" i="1" s="1"/>
  <c r="BX140" i="1"/>
  <c r="S140" i="1"/>
  <c r="S134" i="1"/>
  <c r="S142" i="1" s="1"/>
  <c r="X140" i="1"/>
  <c r="X134" i="1"/>
  <c r="X142" i="1" s="1"/>
  <c r="AU140" i="1"/>
  <c r="AU134" i="1"/>
  <c r="AU142" i="1" s="1"/>
  <c r="BJ140" i="1"/>
  <c r="BJ134" i="1"/>
  <c r="BJ142" i="1" s="1"/>
  <c r="L140" i="1"/>
  <c r="L134" i="1"/>
  <c r="L142" i="1" s="1"/>
  <c r="BV140" i="1"/>
  <c r="BV134" i="1"/>
  <c r="BV142" i="1" s="1"/>
  <c r="W140" i="1"/>
  <c r="W134" i="1"/>
  <c r="W142" i="1" s="1"/>
  <c r="V134" i="1"/>
  <c r="V142" i="1" s="1"/>
  <c r="V140" i="1"/>
  <c r="BK140" i="1"/>
  <c r="BK134" i="1"/>
  <c r="BK142" i="1" s="1"/>
  <c r="AV140" i="1"/>
  <c r="AV134" i="1"/>
  <c r="AV142" i="1" s="1"/>
  <c r="AO140" i="1"/>
  <c r="AO134" i="1"/>
  <c r="AO142" i="1" s="1"/>
  <c r="Q140" i="1"/>
  <c r="Q134" i="1"/>
  <c r="Q142" i="1" s="1"/>
  <c r="Y140" i="1"/>
  <c r="Y134" i="1"/>
  <c r="Y142" i="1" s="1"/>
  <c r="BW140" i="1"/>
  <c r="BW134" i="1"/>
  <c r="BW142" i="1" s="1"/>
  <c r="AZ140" i="1"/>
  <c r="AZ134" i="1"/>
  <c r="AZ142" i="1" s="1"/>
  <c r="BB134" i="1"/>
  <c r="BB142" i="1" s="1"/>
  <c r="BB140" i="1"/>
  <c r="N140" i="1"/>
  <c r="N134" i="1"/>
  <c r="N142" i="1" s="1"/>
  <c r="BZ140" i="1"/>
  <c r="BZ134" i="1"/>
  <c r="AY140" i="1"/>
  <c r="AY134" i="1"/>
  <c r="AY142" i="1" s="1"/>
  <c r="P140" i="1"/>
  <c r="P134" i="1"/>
  <c r="P142" i="1" s="1"/>
  <c r="BT134" i="1"/>
  <c r="BT142" i="1" s="1"/>
  <c r="BT140" i="1"/>
  <c r="L78" i="1"/>
  <c r="H78" i="1"/>
  <c r="I78" i="1" s="1"/>
  <c r="J78" i="1" s="1"/>
  <c r="B79" i="1"/>
  <c r="T78" i="1"/>
  <c r="Y78" i="1" s="1"/>
  <c r="AJ134" i="1"/>
  <c r="AJ142" i="1" s="1"/>
  <c r="AJ140" i="1"/>
  <c r="CA140" i="1"/>
  <c r="CA134" i="1"/>
  <c r="BR134" i="1"/>
  <c r="BR142" i="1" s="1"/>
  <c r="BR140" i="1"/>
  <c r="M140" i="1"/>
  <c r="M134" i="1"/>
  <c r="M142" i="1" s="1"/>
  <c r="BC134" i="1"/>
  <c r="BC142" i="1" s="1"/>
  <c r="BC140" i="1"/>
  <c r="BS134" i="1"/>
  <c r="BS142" i="1" s="1"/>
  <c r="BS140" i="1"/>
  <c r="U134" i="1"/>
  <c r="U142" i="1" s="1"/>
  <c r="U140" i="1"/>
  <c r="BF140" i="1"/>
  <c r="BF134" i="1"/>
  <c r="BF142" i="1" s="1"/>
  <c r="AE140" i="1"/>
  <c r="AE134" i="1"/>
  <c r="AE142" i="1" s="1"/>
  <c r="AK140" i="1"/>
  <c r="AK134" i="1"/>
  <c r="AK142" i="1" s="1"/>
  <c r="K140" i="1"/>
  <c r="K134" i="1"/>
  <c r="K142" i="1" s="1"/>
  <c r="AR140" i="1"/>
  <c r="AR134" i="1"/>
  <c r="AR142" i="1" s="1"/>
  <c r="BN140" i="1"/>
  <c r="BN134" i="1"/>
  <c r="BN142" i="1" s="1"/>
  <c r="BH140" i="1"/>
  <c r="BH134" i="1"/>
  <c r="BH142" i="1" s="1"/>
  <c r="Z140" i="1"/>
  <c r="Z134" i="1"/>
  <c r="Z142" i="1" s="1"/>
  <c r="AG134" i="1"/>
  <c r="AG142" i="1" s="1"/>
  <c r="AG140" i="1"/>
  <c r="AH134" i="1"/>
  <c r="AH142" i="1" s="1"/>
  <c r="AH140" i="1"/>
  <c r="BA134" i="1"/>
  <c r="BA142" i="1" s="1"/>
  <c r="BA140" i="1"/>
  <c r="BL140" i="1"/>
  <c r="BL134" i="1"/>
  <c r="BL142" i="1" s="1"/>
  <c r="AB140" i="1"/>
  <c r="AB134" i="1"/>
  <c r="AB142" i="1" s="1"/>
  <c r="J134" i="1"/>
  <c r="J142" i="1" s="1"/>
  <c r="J140" i="1"/>
  <c r="AQ140" i="1"/>
  <c r="AQ134" i="1"/>
  <c r="AQ142" i="1" s="1"/>
  <c r="O140" i="1"/>
  <c r="O134" i="1"/>
  <c r="O142" i="1" s="1"/>
  <c r="AD140" i="1"/>
  <c r="AD134" i="1"/>
  <c r="AD142" i="1" s="1"/>
  <c r="T134" i="1"/>
  <c r="T142" i="1" s="1"/>
  <c r="T140" i="1"/>
  <c r="AN134" i="1"/>
  <c r="AN142" i="1" s="1"/>
  <c r="AN140" i="1"/>
  <c r="AS140" i="1"/>
  <c r="AS134" i="1"/>
  <c r="AS142" i="1" s="1"/>
  <c r="AW140" i="1"/>
  <c r="AW134" i="1"/>
  <c r="AW142" i="1" s="1"/>
  <c r="BY140" i="1"/>
  <c r="BY134" i="1"/>
  <c r="BY142" i="1" s="1"/>
  <c r="BU140" i="1"/>
  <c r="BU134" i="1"/>
  <c r="BU142" i="1" s="1"/>
  <c r="BO134" i="1"/>
  <c r="BO142" i="1" s="1"/>
  <c r="BO140" i="1"/>
  <c r="AP140" i="1"/>
  <c r="AP134" i="1"/>
  <c r="AP142" i="1" s="1"/>
  <c r="AT140" i="1"/>
  <c r="AT134" i="1"/>
  <c r="AT142" i="1" s="1"/>
  <c r="AI134" i="1"/>
  <c r="AI142" i="1" s="1"/>
  <c r="AI140" i="1"/>
  <c r="BM140" i="1"/>
  <c r="BM134" i="1"/>
  <c r="BM142" i="1" s="1"/>
  <c r="AL140" i="1"/>
  <c r="AL134" i="1"/>
  <c r="AL142" i="1" s="1"/>
  <c r="AX140" i="1"/>
  <c r="AX134" i="1"/>
  <c r="AX142" i="1" s="1"/>
  <c r="BP134" i="1"/>
  <c r="BP142" i="1" s="1"/>
  <c r="BP140" i="1"/>
  <c r="H133" i="1"/>
  <c r="H130" i="1"/>
  <c r="AC140" i="1"/>
  <c r="AC134" i="1"/>
  <c r="AC142" i="1" s="1"/>
  <c r="BQ134" i="1"/>
  <c r="BQ142" i="1" s="1"/>
  <c r="BQ140" i="1"/>
  <c r="AA140" i="1"/>
  <c r="AA134" i="1"/>
  <c r="AA142" i="1" s="1"/>
  <c r="AM140" i="1"/>
  <c r="AM134" i="1"/>
  <c r="AM142" i="1" s="1"/>
  <c r="BE140" i="1"/>
  <c r="BE134" i="1"/>
  <c r="BE142" i="1" s="1"/>
  <c r="BG140" i="1"/>
  <c r="BG134" i="1"/>
  <c r="BG142" i="1" s="1"/>
  <c r="R140" i="1"/>
  <c r="R134" i="1"/>
  <c r="R142" i="1" s="1"/>
  <c r="BI140" i="1"/>
  <c r="BI134" i="1"/>
  <c r="BI142" i="1" s="1"/>
  <c r="BZ130" i="1" l="1"/>
  <c r="H141" i="1"/>
  <c r="L79" i="1"/>
  <c r="T79" i="1"/>
  <c r="Y79" i="1" s="1"/>
  <c r="H79" i="1"/>
  <c r="I79" i="1" s="1"/>
  <c r="J79" i="1" s="1"/>
  <c r="B80" i="1"/>
  <c r="H134" i="1"/>
  <c r="H142" i="1" s="1"/>
  <c r="H140" i="1"/>
  <c r="CA130" i="1" l="1"/>
  <c r="BZ141" i="1"/>
  <c r="L80" i="1"/>
  <c r="B81" i="1"/>
  <c r="T80" i="1"/>
  <c r="Y80" i="1" s="1"/>
  <c r="H80" i="1"/>
  <c r="I80" i="1" s="1"/>
  <c r="J80" i="1" s="1"/>
  <c r="BZ142" i="1"/>
  <c r="L81" i="1" l="1"/>
  <c r="T81" i="1"/>
  <c r="Y81" i="1" s="1"/>
  <c r="H81" i="1"/>
  <c r="I81" i="1" s="1"/>
  <c r="J81" i="1" s="1"/>
  <c r="B82" i="1"/>
  <c r="CA141" i="1"/>
  <c r="CA142" i="1"/>
  <c r="L82" i="1" l="1"/>
  <c r="H82" i="1"/>
  <c r="I82" i="1" s="1"/>
  <c r="J82" i="1" s="1"/>
  <c r="T82" i="1"/>
  <c r="Y82" i="1" s="1"/>
  <c r="B83" i="1"/>
  <c r="L83" i="1" l="1"/>
  <c r="H83" i="1"/>
  <c r="I83" i="1" s="1"/>
  <c r="J83" i="1" s="1"/>
  <c r="B84" i="1"/>
  <c r="T83" i="1"/>
  <c r="Y83" i="1" s="1"/>
  <c r="L84" i="1" l="1"/>
  <c r="B85" i="1"/>
  <c r="H84" i="1"/>
  <c r="I84" i="1" s="1"/>
  <c r="J84" i="1" s="1"/>
  <c r="T84" i="1"/>
  <c r="Y84" i="1" s="1"/>
  <c r="L85" i="1" l="1"/>
  <c r="H85" i="1"/>
  <c r="I85" i="1" s="1"/>
  <c r="J85" i="1" s="1"/>
  <c r="B86" i="1"/>
  <c r="T85" i="1"/>
  <c r="Y85" i="1" s="1"/>
  <c r="L86" i="1" l="1"/>
  <c r="B87" i="1"/>
  <c r="T86" i="1"/>
  <c r="Y86" i="1" s="1"/>
  <c r="H86" i="1"/>
  <c r="I86" i="1" s="1"/>
  <c r="J86" i="1" s="1"/>
  <c r="L87" i="1" l="1"/>
  <c r="T87" i="1"/>
  <c r="Y87" i="1" s="1"/>
  <c r="H87" i="1"/>
  <c r="I87" i="1" s="1"/>
  <c r="J87" i="1" s="1"/>
  <c r="B88" i="1"/>
  <c r="L88" i="1" l="1"/>
  <c r="B89" i="1"/>
  <c r="H88" i="1"/>
  <c r="I88" i="1" s="1"/>
  <c r="J88" i="1" s="1"/>
  <c r="T88" i="1"/>
  <c r="Y88" i="1" s="1"/>
  <c r="L89" i="1" l="1"/>
  <c r="T89" i="1"/>
  <c r="Y89" i="1" s="1"/>
  <c r="B90" i="1"/>
  <c r="H89" i="1"/>
  <c r="I89" i="1" s="1"/>
  <c r="J89" i="1" s="1"/>
  <c r="L90" i="1" l="1"/>
  <c r="H90" i="1"/>
  <c r="I90" i="1" s="1"/>
  <c r="J90" i="1" s="1"/>
  <c r="T90" i="1"/>
  <c r="Y90" i="1" s="1"/>
  <c r="B91" i="1"/>
  <c r="L91" i="1" l="1"/>
  <c r="T91" i="1"/>
  <c r="Y91" i="1" s="1"/>
  <c r="H91" i="1"/>
  <c r="I91" i="1" s="1"/>
  <c r="J91" i="1" s="1"/>
  <c r="B92" i="1"/>
  <c r="L92" i="1" l="1"/>
  <c r="H92" i="1"/>
  <c r="I92" i="1" s="1"/>
  <c r="J92" i="1" s="1"/>
  <c r="T92" i="1"/>
  <c r="Y92" i="1" s="1"/>
  <c r="B93" i="1"/>
  <c r="T93" i="1" l="1"/>
  <c r="Y93" i="1" s="1"/>
  <c r="L93" i="1"/>
  <c r="H93" i="1"/>
  <c r="I93" i="1" s="1"/>
  <c r="J93" i="1" s="1"/>
  <c r="B94" i="1"/>
  <c r="T94" i="1" l="1"/>
  <c r="Y94" i="1" s="1"/>
  <c r="H94" i="1"/>
  <c r="I94" i="1" s="1"/>
  <c r="J94" i="1" s="1"/>
  <c r="L94" i="1"/>
  <c r="B95" i="1"/>
  <c r="T95" i="1" l="1"/>
  <c r="Y95" i="1" s="1"/>
  <c r="H95" i="1"/>
  <c r="I95" i="1" s="1"/>
  <c r="J95" i="1" s="1"/>
  <c r="B96" i="1"/>
  <c r="L95" i="1"/>
  <c r="T96" i="1" l="1"/>
  <c r="Y96" i="1" s="1"/>
  <c r="L96" i="1"/>
  <c r="B97" i="1"/>
  <c r="H96" i="1"/>
  <c r="I96" i="1" s="1"/>
  <c r="J96" i="1" s="1"/>
  <c r="T97" i="1" l="1"/>
  <c r="Y97" i="1" s="1"/>
  <c r="B98" i="1"/>
  <c r="L97" i="1"/>
  <c r="H97" i="1"/>
  <c r="I97" i="1" s="1"/>
  <c r="J97" i="1" s="1"/>
  <c r="T98" i="1" l="1"/>
  <c r="Y98" i="1" s="1"/>
  <c r="H98" i="1"/>
  <c r="I98" i="1" s="1"/>
  <c r="J98" i="1" s="1"/>
  <c r="B99" i="1"/>
  <c r="L98" i="1"/>
  <c r="T99" i="1" l="1"/>
  <c r="Y99" i="1" s="1"/>
  <c r="B100" i="1"/>
  <c r="L99" i="1"/>
  <c r="H99" i="1"/>
  <c r="I99" i="1" s="1"/>
  <c r="J99" i="1" s="1"/>
  <c r="T100" i="1" l="1"/>
  <c r="Y100" i="1" s="1"/>
  <c r="H100" i="1"/>
  <c r="I100" i="1" s="1"/>
  <c r="J100" i="1" s="1"/>
  <c r="B101" i="1"/>
  <c r="L100" i="1"/>
  <c r="T101" i="1" l="1"/>
  <c r="Y101" i="1" s="1"/>
  <c r="B102" i="1"/>
  <c r="H101" i="1"/>
  <c r="I101" i="1" s="1"/>
  <c r="J101" i="1" s="1"/>
  <c r="L101" i="1"/>
  <c r="T102" i="1" l="1"/>
  <c r="Y102" i="1" s="1"/>
  <c r="H102" i="1"/>
  <c r="I102" i="1" s="1"/>
  <c r="J102" i="1" s="1"/>
  <c r="L102" i="1"/>
  <c r="B103" i="1"/>
  <c r="H103" i="1" l="1"/>
  <c r="I103" i="1" s="1"/>
  <c r="J103" i="1" s="1"/>
  <c r="T103" i="1"/>
  <c r="Y103" i="1" s="1"/>
  <c r="L103" i="1"/>
  <c r="B104" i="1"/>
  <c r="L104" i="1" l="1"/>
  <c r="B105" i="1"/>
  <c r="H104" i="1"/>
  <c r="I104" i="1" s="1"/>
  <c r="J104" i="1" s="1"/>
  <c r="T104" i="1"/>
  <c r="Y104" i="1" s="1"/>
  <c r="L105" i="1" l="1"/>
  <c r="H105" i="1"/>
  <c r="I105" i="1" s="1"/>
  <c r="J105" i="1" s="1"/>
  <c r="B106" i="1"/>
  <c r="T105" i="1"/>
  <c r="Y105" i="1" s="1"/>
  <c r="B107" i="1" l="1"/>
  <c r="L106" i="1"/>
  <c r="H106" i="1"/>
  <c r="I106" i="1" s="1"/>
  <c r="J106" i="1" s="1"/>
  <c r="T106" i="1"/>
  <c r="Y106" i="1" s="1"/>
  <c r="T107" i="1" l="1"/>
  <c r="Y107" i="1" s="1"/>
  <c r="H107" i="1"/>
  <c r="I107" i="1" s="1"/>
  <c r="J107" i="1" s="1"/>
  <c r="L107" i="1"/>
  <c r="B108" i="1"/>
  <c r="T108" i="1" l="1"/>
  <c r="Y108" i="1" s="1"/>
  <c r="B109" i="1"/>
  <c r="H108" i="1"/>
  <c r="I108" i="1" s="1"/>
  <c r="J108" i="1" s="1"/>
  <c r="L108" i="1"/>
  <c r="H109" i="1" l="1"/>
  <c r="I109" i="1" s="1"/>
  <c r="J109" i="1" s="1"/>
  <c r="B110" i="1"/>
  <c r="L109" i="1"/>
  <c r="T109" i="1"/>
  <c r="Y109" i="1" s="1"/>
  <c r="L110" i="1" l="1"/>
  <c r="B111" i="1"/>
  <c r="H110" i="1"/>
  <c r="I110" i="1" s="1"/>
  <c r="J110" i="1" s="1"/>
  <c r="T110" i="1"/>
  <c r="Y110" i="1" s="1"/>
  <c r="B112" i="1" l="1"/>
  <c r="T111" i="1"/>
  <c r="Y111" i="1" s="1"/>
  <c r="L111" i="1"/>
  <c r="H111" i="1"/>
  <c r="I111" i="1" s="1"/>
  <c r="J111" i="1" s="1"/>
  <c r="B113" i="1" l="1"/>
  <c r="L112" i="1"/>
  <c r="H112" i="1"/>
  <c r="I112" i="1" s="1"/>
  <c r="J112" i="1" s="1"/>
  <c r="T112" i="1"/>
  <c r="Y112" i="1" s="1"/>
  <c r="T113" i="1" l="1"/>
  <c r="Y113" i="1" s="1"/>
  <c r="L113" i="1"/>
  <c r="H113" i="1"/>
  <c r="I113" i="1" s="1"/>
  <c r="J113" i="1" s="1"/>
  <c r="J114" i="1" s="1"/>
  <c r="D16" i="1" l="1"/>
  <c r="N42" i="1"/>
  <c r="AA42" i="1" l="1"/>
  <c r="R42" i="1"/>
  <c r="N43" i="1" s="1"/>
  <c r="E22" i="1"/>
  <c r="D18" i="1"/>
  <c r="E21" i="1" s="1"/>
  <c r="E24" i="1" s="1"/>
  <c r="P43" i="1" l="1"/>
  <c r="U42" i="1"/>
  <c r="V43" i="1" l="1"/>
  <c r="I31" i="1"/>
  <c r="Q43" i="1"/>
  <c r="U43" i="1"/>
  <c r="AB42" i="1"/>
  <c r="W42" i="1"/>
  <c r="I32" i="1"/>
  <c r="D33" i="1" l="1"/>
  <c r="K32" i="1"/>
  <c r="BW136" i="1"/>
  <c r="BW137" i="1" s="1"/>
  <c r="BK136" i="1"/>
  <c r="BK137" i="1" s="1"/>
  <c r="AY136" i="1"/>
  <c r="AY137" i="1" s="1"/>
  <c r="AM136" i="1"/>
  <c r="AM137" i="1" s="1"/>
  <c r="AA136" i="1"/>
  <c r="AA137" i="1" s="1"/>
  <c r="O136" i="1"/>
  <c r="O137" i="1" s="1"/>
  <c r="BV136" i="1"/>
  <c r="BV137" i="1" s="1"/>
  <c r="BJ136" i="1"/>
  <c r="BJ137" i="1" s="1"/>
  <c r="AX136" i="1"/>
  <c r="AX137" i="1" s="1"/>
  <c r="AL136" i="1"/>
  <c r="AL137" i="1" s="1"/>
  <c r="Z136" i="1"/>
  <c r="Z137" i="1" s="1"/>
  <c r="N136" i="1"/>
  <c r="N137" i="1" s="1"/>
  <c r="BU136" i="1"/>
  <c r="BU137" i="1" s="1"/>
  <c r="BI136" i="1"/>
  <c r="BI137" i="1" s="1"/>
  <c r="AW136" i="1"/>
  <c r="AW137" i="1" s="1"/>
  <c r="AK136" i="1"/>
  <c r="AK137" i="1" s="1"/>
  <c r="Y136" i="1"/>
  <c r="Y137" i="1" s="1"/>
  <c r="M136" i="1"/>
  <c r="M137" i="1" s="1"/>
  <c r="CA136" i="1"/>
  <c r="CA137" i="1" s="1"/>
  <c r="BL136" i="1"/>
  <c r="BL137" i="1" s="1"/>
  <c r="AT136" i="1"/>
  <c r="AT137" i="1" s="1"/>
  <c r="AE136" i="1"/>
  <c r="AE137" i="1" s="1"/>
  <c r="P136" i="1"/>
  <c r="P137" i="1" s="1"/>
  <c r="BZ136" i="1"/>
  <c r="BZ137" i="1" s="1"/>
  <c r="BH136" i="1"/>
  <c r="BH137" i="1" s="1"/>
  <c r="AS136" i="1"/>
  <c r="AS137" i="1" s="1"/>
  <c r="AD136" i="1"/>
  <c r="AD137" i="1" s="1"/>
  <c r="L136" i="1"/>
  <c r="L137" i="1" s="1"/>
  <c r="BY136" i="1"/>
  <c r="BY137" i="1" s="1"/>
  <c r="BG136" i="1"/>
  <c r="BG137" i="1" s="1"/>
  <c r="AR136" i="1"/>
  <c r="AR137" i="1" s="1"/>
  <c r="AC136" i="1"/>
  <c r="AC137" i="1" s="1"/>
  <c r="K136" i="1"/>
  <c r="K137" i="1" s="1"/>
  <c r="BO136" i="1"/>
  <c r="BO137" i="1" s="1"/>
  <c r="AQ136" i="1"/>
  <c r="AQ137" i="1" s="1"/>
  <c r="V136" i="1"/>
  <c r="V137" i="1" s="1"/>
  <c r="BN136" i="1"/>
  <c r="BN137" i="1" s="1"/>
  <c r="AP136" i="1"/>
  <c r="AP137" i="1" s="1"/>
  <c r="U136" i="1"/>
  <c r="U137" i="1" s="1"/>
  <c r="BM136" i="1"/>
  <c r="BM137" i="1" s="1"/>
  <c r="AO136" i="1"/>
  <c r="AO137" i="1" s="1"/>
  <c r="T136" i="1"/>
  <c r="T137" i="1" s="1"/>
  <c r="BX136" i="1"/>
  <c r="BX137" i="1" s="1"/>
  <c r="AZ136" i="1"/>
  <c r="AZ137" i="1" s="1"/>
  <c r="S136" i="1"/>
  <c r="S137" i="1" s="1"/>
  <c r="BT136" i="1"/>
  <c r="BT137" i="1" s="1"/>
  <c r="AV136" i="1"/>
  <c r="AV137" i="1" s="1"/>
  <c r="R136" i="1"/>
  <c r="R137" i="1" s="1"/>
  <c r="BS136" i="1"/>
  <c r="BS137" i="1" s="1"/>
  <c r="AU136" i="1"/>
  <c r="AU137" i="1" s="1"/>
  <c r="Q136" i="1"/>
  <c r="Q137" i="1" s="1"/>
  <c r="BC136" i="1"/>
  <c r="BC137" i="1" s="1"/>
  <c r="J136" i="1"/>
  <c r="J137" i="1" s="1"/>
  <c r="BB136" i="1"/>
  <c r="BB137" i="1" s="1"/>
  <c r="I136" i="1"/>
  <c r="I137" i="1" s="1"/>
  <c r="BA136" i="1"/>
  <c r="BA137" i="1" s="1"/>
  <c r="H136" i="1"/>
  <c r="H137" i="1" s="1"/>
  <c r="AN136" i="1"/>
  <c r="AN137" i="1" s="1"/>
  <c r="BP136" i="1"/>
  <c r="BP137" i="1" s="1"/>
  <c r="BE136" i="1"/>
  <c r="BE137" i="1" s="1"/>
  <c r="W136" i="1"/>
  <c r="W137" i="1" s="1"/>
  <c r="AC42" i="1"/>
  <c r="BD136" i="1"/>
  <c r="BD137" i="1" s="1"/>
  <c r="BR136" i="1"/>
  <c r="BR137" i="1" s="1"/>
  <c r="BQ136" i="1"/>
  <c r="BQ137" i="1" s="1"/>
  <c r="AJ136" i="1"/>
  <c r="AJ137" i="1" s="1"/>
  <c r="BF136" i="1"/>
  <c r="BF137" i="1" s="1"/>
  <c r="AI136" i="1"/>
  <c r="AI137" i="1" s="1"/>
  <c r="X136" i="1"/>
  <c r="X137" i="1" s="1"/>
  <c r="AH136" i="1"/>
  <c r="AH137" i="1" s="1"/>
  <c r="AG136" i="1"/>
  <c r="AG137" i="1" s="1"/>
  <c r="AF136" i="1"/>
  <c r="AF137" i="1" s="1"/>
  <c r="AB136" i="1"/>
  <c r="AB137" i="1" s="1"/>
  <c r="AD42" i="1"/>
  <c r="AA43" i="1" s="1"/>
  <c r="U44" i="1"/>
  <c r="W43" i="1"/>
  <c r="AB43" i="1"/>
  <c r="AC43" i="1" s="1"/>
  <c r="E30" i="1"/>
  <c r="R43" i="1"/>
  <c r="N44" i="1" s="1"/>
  <c r="K31" i="1"/>
  <c r="I36" i="1"/>
  <c r="P44" i="1" l="1"/>
  <c r="E36" i="1"/>
  <c r="K30" i="1"/>
  <c r="U45" i="1"/>
  <c r="AB44" i="1"/>
  <c r="AC44" i="1" s="1"/>
  <c r="AD43" i="1"/>
  <c r="AA44" i="1" s="1"/>
  <c r="AD44" i="1" s="1"/>
  <c r="AA45" i="1" s="1"/>
  <c r="D36" i="1"/>
  <c r="K33" i="1"/>
  <c r="AB45" i="1" l="1"/>
  <c r="AC45" i="1" s="1"/>
  <c r="U46" i="1"/>
  <c r="K36" i="1"/>
  <c r="V44" i="1"/>
  <c r="W44" i="1" s="1"/>
  <c r="Q44" i="1"/>
  <c r="AB46" i="1" l="1"/>
  <c r="AC46" i="1" s="1"/>
  <c r="U47" i="1"/>
  <c r="AD45" i="1"/>
  <c r="AA46" i="1" s="1"/>
  <c r="AD46" i="1" s="1"/>
  <c r="AA47" i="1" s="1"/>
  <c r="R44" i="1"/>
  <c r="N45" i="1" s="1"/>
  <c r="P45" i="1" l="1"/>
  <c r="U48" i="1"/>
  <c r="AB47" i="1"/>
  <c r="AC47" i="1" s="1"/>
  <c r="AB48" i="1" l="1"/>
  <c r="AC48" i="1" s="1"/>
  <c r="U49" i="1"/>
  <c r="AD47" i="1"/>
  <c r="AA48" i="1" s="1"/>
  <c r="AD48" i="1" s="1"/>
  <c r="AA49" i="1" s="1"/>
  <c r="V45" i="1"/>
  <c r="W45" i="1" s="1"/>
  <c r="Q45" i="1"/>
  <c r="R45" i="1" l="1"/>
  <c r="N46" i="1" s="1"/>
  <c r="AB49" i="1"/>
  <c r="AC49" i="1" s="1"/>
  <c r="U50" i="1"/>
  <c r="AD49" i="1" l="1"/>
  <c r="AA50" i="1" s="1"/>
  <c r="U51" i="1"/>
  <c r="AB50" i="1"/>
  <c r="AC50" i="1" s="1"/>
  <c r="P46" i="1"/>
  <c r="V46" i="1" l="1"/>
  <c r="W46" i="1" s="1"/>
  <c r="Q46" i="1"/>
  <c r="U52" i="1"/>
  <c r="AB51" i="1"/>
  <c r="AC51" i="1" s="1"/>
  <c r="AD50" i="1"/>
  <c r="AA51" i="1" s="1"/>
  <c r="AD51" i="1" s="1"/>
  <c r="AA52" i="1" s="1"/>
  <c r="AB52" i="1" l="1"/>
  <c r="AC52" i="1" s="1"/>
  <c r="U53" i="1"/>
  <c r="R46" i="1"/>
  <c r="N47" i="1" s="1"/>
  <c r="P47" i="1" l="1"/>
  <c r="U54" i="1"/>
  <c r="AB53" i="1"/>
  <c r="AC53" i="1" s="1"/>
  <c r="AD52" i="1"/>
  <c r="AA53" i="1" s="1"/>
  <c r="AD53" i="1" s="1"/>
  <c r="AA54" i="1" s="1"/>
  <c r="U55" i="1" l="1"/>
  <c r="AB54" i="1"/>
  <c r="AC54" i="1" s="1"/>
  <c r="V47" i="1"/>
  <c r="W47" i="1" s="1"/>
  <c r="Q47" i="1"/>
  <c r="R47" i="1" s="1"/>
  <c r="N48" i="1" s="1"/>
  <c r="P48" i="1" l="1"/>
  <c r="AB55" i="1"/>
  <c r="AC55" i="1" s="1"/>
  <c r="U56" i="1"/>
  <c r="AD54" i="1"/>
  <c r="AA55" i="1" s="1"/>
  <c r="AD55" i="1" s="1"/>
  <c r="AA56" i="1" s="1"/>
  <c r="U57" i="1" l="1"/>
  <c r="AB56" i="1"/>
  <c r="AC56" i="1" s="1"/>
  <c r="V48" i="1"/>
  <c r="W48" i="1" s="1"/>
  <c r="Q48" i="1"/>
  <c r="R48" i="1" s="1"/>
  <c r="N49" i="1" s="1"/>
  <c r="U58" i="1" l="1"/>
  <c r="AB57" i="1"/>
  <c r="AC57" i="1" s="1"/>
  <c r="AD56" i="1"/>
  <c r="AA57" i="1" s="1"/>
  <c r="AD57" i="1" s="1"/>
  <c r="AA58" i="1" s="1"/>
  <c r="P49" i="1"/>
  <c r="V49" i="1" l="1"/>
  <c r="W49" i="1" s="1"/>
  <c r="Q49" i="1"/>
  <c r="R49" i="1" s="1"/>
  <c r="N50" i="1" s="1"/>
  <c r="AB58" i="1"/>
  <c r="AC58" i="1" s="1"/>
  <c r="U59" i="1"/>
  <c r="U60" i="1" l="1"/>
  <c r="AB59" i="1"/>
  <c r="AC59" i="1" s="1"/>
  <c r="AD58" i="1"/>
  <c r="AA59" i="1" s="1"/>
  <c r="AD59" i="1" s="1"/>
  <c r="AA60" i="1" s="1"/>
  <c r="P50" i="1"/>
  <c r="V50" i="1" l="1"/>
  <c r="W50" i="1" s="1"/>
  <c r="Q50" i="1"/>
  <c r="R50" i="1" s="1"/>
  <c r="N51" i="1" s="1"/>
  <c r="U61" i="1"/>
  <c r="AB60" i="1"/>
  <c r="AC60" i="1" s="1"/>
  <c r="P51" i="1" l="1"/>
  <c r="AB61" i="1"/>
  <c r="AC61" i="1" s="1"/>
  <c r="U62" i="1"/>
  <c r="AD60" i="1"/>
  <c r="AA61" i="1" s="1"/>
  <c r="AD61" i="1" s="1"/>
  <c r="AA62" i="1" s="1"/>
  <c r="U63" i="1" l="1"/>
  <c r="AB62" i="1"/>
  <c r="AC62" i="1" s="1"/>
  <c r="V51" i="1"/>
  <c r="W51" i="1" s="1"/>
  <c r="Q51" i="1"/>
  <c r="R51" i="1" s="1"/>
  <c r="N52" i="1" s="1"/>
  <c r="P52" i="1" l="1"/>
  <c r="U64" i="1"/>
  <c r="AB63" i="1"/>
  <c r="AC63" i="1" s="1"/>
  <c r="AD62" i="1"/>
  <c r="AA63" i="1" s="1"/>
  <c r="AD63" i="1" s="1"/>
  <c r="AA64" i="1" s="1"/>
  <c r="V52" i="1" l="1"/>
  <c r="W52" i="1" s="1"/>
  <c r="Q52" i="1"/>
  <c r="R52" i="1" s="1"/>
  <c r="N53" i="1" s="1"/>
  <c r="AB64" i="1"/>
  <c r="AC64" i="1" s="1"/>
  <c r="U65" i="1"/>
  <c r="P53" i="1" l="1"/>
  <c r="U66" i="1"/>
  <c r="AB65" i="1"/>
  <c r="AC65" i="1" s="1"/>
  <c r="AD64" i="1"/>
  <c r="AA65" i="1" s="1"/>
  <c r="AD65" i="1" s="1"/>
  <c r="AA66" i="1" s="1"/>
  <c r="U67" i="1" l="1"/>
  <c r="AB66" i="1"/>
  <c r="AC66" i="1" s="1"/>
  <c r="V53" i="1"/>
  <c r="W53" i="1" s="1"/>
  <c r="Q53" i="1"/>
  <c r="R53" i="1" s="1"/>
  <c r="N54" i="1" s="1"/>
  <c r="P54" i="1" l="1"/>
  <c r="AB67" i="1"/>
  <c r="AC67" i="1" s="1"/>
  <c r="U68" i="1"/>
  <c r="AD66" i="1"/>
  <c r="AA67" i="1" s="1"/>
  <c r="AD67" i="1" s="1"/>
  <c r="AA68" i="1" s="1"/>
  <c r="U69" i="1" l="1"/>
  <c r="AB68" i="1"/>
  <c r="AC68" i="1" s="1"/>
  <c r="V54" i="1"/>
  <c r="W54" i="1" s="1"/>
  <c r="Q54" i="1"/>
  <c r="R54" i="1" s="1"/>
  <c r="N55" i="1" s="1"/>
  <c r="P55" i="1" l="1"/>
  <c r="AB69" i="1"/>
  <c r="AC69" i="1" s="1"/>
  <c r="U70" i="1"/>
  <c r="AD68" i="1"/>
  <c r="AA69" i="1" s="1"/>
  <c r="AD69" i="1" s="1"/>
  <c r="AA70" i="1" s="1"/>
  <c r="AC70" i="1" l="1"/>
  <c r="AB70" i="1"/>
  <c r="AD70" i="1" s="1"/>
  <c r="AA71" i="1" s="1"/>
  <c r="U71" i="1"/>
  <c r="V55" i="1"/>
  <c r="W55" i="1" s="1"/>
  <c r="Q55" i="1"/>
  <c r="R55" i="1" s="1"/>
  <c r="N56" i="1" s="1"/>
  <c r="P56" i="1" l="1"/>
  <c r="U72" i="1"/>
  <c r="AB71" i="1"/>
  <c r="AD71" i="1" s="1"/>
  <c r="AA72" i="1" s="1"/>
  <c r="AC71" i="1"/>
  <c r="V56" i="1" l="1"/>
  <c r="W56" i="1" s="1"/>
  <c r="Q56" i="1"/>
  <c r="R56" i="1" s="1"/>
  <c r="N57" i="1" s="1"/>
  <c r="U73" i="1"/>
  <c r="AB72" i="1"/>
  <c r="AD72" i="1" s="1"/>
  <c r="AA73" i="1" s="1"/>
  <c r="AB73" i="1" l="1"/>
  <c r="AD73" i="1" s="1"/>
  <c r="AA74" i="1" s="1"/>
  <c r="U74" i="1"/>
  <c r="P57" i="1"/>
  <c r="AC72" i="1"/>
  <c r="AC73" i="1" s="1"/>
  <c r="V57" i="1" l="1"/>
  <c r="W57" i="1" s="1"/>
  <c r="Q57" i="1"/>
  <c r="R57" i="1" s="1"/>
  <c r="N58" i="1" s="1"/>
  <c r="U75" i="1"/>
  <c r="AB74" i="1"/>
  <c r="AD74" i="1" s="1"/>
  <c r="AA75" i="1" s="1"/>
  <c r="AB75" i="1" l="1"/>
  <c r="AD75" i="1" s="1"/>
  <c r="AA76" i="1" s="1"/>
  <c r="U76" i="1"/>
  <c r="P58" i="1"/>
  <c r="AC74" i="1"/>
  <c r="AC75" i="1" s="1"/>
  <c r="V58" i="1" l="1"/>
  <c r="W58" i="1" s="1"/>
  <c r="Q58" i="1"/>
  <c r="R58" i="1" s="1"/>
  <c r="N59" i="1" s="1"/>
  <c r="AB76" i="1"/>
  <c r="AD76" i="1" s="1"/>
  <c r="AA77" i="1" s="1"/>
  <c r="U77" i="1"/>
  <c r="U78" i="1" l="1"/>
  <c r="AB77" i="1"/>
  <c r="AD77" i="1" s="1"/>
  <c r="AA78" i="1" s="1"/>
  <c r="P59" i="1"/>
  <c r="AC76" i="1"/>
  <c r="AC77" i="1" s="1"/>
  <c r="V59" i="1" l="1"/>
  <c r="W59" i="1" s="1"/>
  <c r="Q59" i="1"/>
  <c r="R59" i="1" s="1"/>
  <c r="N60" i="1" s="1"/>
  <c r="AB78" i="1"/>
  <c r="AD78" i="1" s="1"/>
  <c r="AA79" i="1" s="1"/>
  <c r="U79" i="1"/>
  <c r="AB79" i="1" l="1"/>
  <c r="AD79" i="1" s="1"/>
  <c r="AA80" i="1" s="1"/>
  <c r="U80" i="1"/>
  <c r="P60" i="1"/>
  <c r="AC78" i="1"/>
  <c r="AC79" i="1" s="1"/>
  <c r="AD80" i="1" l="1"/>
  <c r="AA81" i="1" s="1"/>
  <c r="AC80" i="1"/>
  <c r="V60" i="1"/>
  <c r="W60" i="1" s="1"/>
  <c r="Q60" i="1"/>
  <c r="R60" i="1" s="1"/>
  <c r="N61" i="1" s="1"/>
  <c r="AB80" i="1"/>
  <c r="U81" i="1"/>
  <c r="U82" i="1" l="1"/>
  <c r="AB81" i="1"/>
  <c r="P61" i="1"/>
  <c r="AC81" i="1"/>
  <c r="AD81" i="1"/>
  <c r="AA82" i="1" s="1"/>
  <c r="V61" i="1" l="1"/>
  <c r="W61" i="1" s="1"/>
  <c r="Q61" i="1"/>
  <c r="R61" i="1" s="1"/>
  <c r="N62" i="1" s="1"/>
  <c r="AB82" i="1"/>
  <c r="AD82" i="1" s="1"/>
  <c r="AA83" i="1" s="1"/>
  <c r="U83" i="1"/>
  <c r="AB83" i="1" l="1"/>
  <c r="AD83" i="1" s="1"/>
  <c r="AA84" i="1" s="1"/>
  <c r="U84" i="1"/>
  <c r="P62" i="1"/>
  <c r="AC82" i="1"/>
  <c r="AC83" i="1" s="1"/>
  <c r="V62" i="1" l="1"/>
  <c r="W62" i="1" s="1"/>
  <c r="Q62" i="1"/>
  <c r="R62" i="1" s="1"/>
  <c r="N63" i="1" s="1"/>
  <c r="U85" i="1"/>
  <c r="AB84" i="1"/>
  <c r="AD84" i="1" s="1"/>
  <c r="AA85" i="1" s="1"/>
  <c r="AC84" i="1"/>
  <c r="P63" i="1" l="1"/>
  <c r="AB85" i="1"/>
  <c r="AD85" i="1" s="1"/>
  <c r="AA86" i="1" s="1"/>
  <c r="U86" i="1"/>
  <c r="AC85" i="1" l="1"/>
  <c r="U87" i="1"/>
  <c r="AB86" i="1"/>
  <c r="AD86" i="1" s="1"/>
  <c r="AA87" i="1" s="1"/>
  <c r="V63" i="1"/>
  <c r="W63" i="1" s="1"/>
  <c r="Q63" i="1"/>
  <c r="R63" i="1" s="1"/>
  <c r="N64" i="1" s="1"/>
  <c r="P64" i="1" l="1"/>
  <c r="AB87" i="1"/>
  <c r="AD87" i="1" s="1"/>
  <c r="AA88" i="1" s="1"/>
  <c r="U88" i="1"/>
  <c r="AC86" i="1"/>
  <c r="AC87" i="1" s="1"/>
  <c r="U89" i="1" l="1"/>
  <c r="AB88" i="1"/>
  <c r="AD88" i="1" s="1"/>
  <c r="AA89" i="1" s="1"/>
  <c r="V64" i="1"/>
  <c r="W64" i="1" s="1"/>
  <c r="Q64" i="1"/>
  <c r="R64" i="1" s="1"/>
  <c r="N65" i="1" s="1"/>
  <c r="AD89" i="1" l="1"/>
  <c r="AA90" i="1" s="1"/>
  <c r="P65" i="1"/>
  <c r="U90" i="1"/>
  <c r="AB89" i="1"/>
  <c r="AC88" i="1"/>
  <c r="AC89" i="1" s="1"/>
  <c r="AB90" i="1" l="1"/>
  <c r="AC90" i="1" s="1"/>
  <c r="U91" i="1"/>
  <c r="V65" i="1"/>
  <c r="W65" i="1" s="1"/>
  <c r="Q65" i="1"/>
  <c r="R65" i="1" s="1"/>
  <c r="N66" i="1" s="1"/>
  <c r="AD90" i="1"/>
  <c r="AA91" i="1" s="1"/>
  <c r="P66" i="1" l="1"/>
  <c r="U92" i="1"/>
  <c r="AB91" i="1"/>
  <c r="AC91" i="1" s="1"/>
  <c r="U93" i="1" l="1"/>
  <c r="AB92" i="1"/>
  <c r="AC92" i="1" s="1"/>
  <c r="AD91" i="1"/>
  <c r="AA92" i="1" s="1"/>
  <c r="AD92" i="1" s="1"/>
  <c r="AA93" i="1" s="1"/>
  <c r="V66" i="1"/>
  <c r="W66" i="1" s="1"/>
  <c r="Q66" i="1"/>
  <c r="R66" i="1" s="1"/>
  <c r="N67" i="1" s="1"/>
  <c r="P67" i="1" l="1"/>
  <c r="U94" i="1"/>
  <c r="AB93" i="1"/>
  <c r="AC93" i="1" s="1"/>
  <c r="AD93" i="1" l="1"/>
  <c r="AA94" i="1" s="1"/>
  <c r="U95" i="1"/>
  <c r="AB94" i="1"/>
  <c r="AC94" i="1" s="1"/>
  <c r="V67" i="1"/>
  <c r="W67" i="1" s="1"/>
  <c r="Q67" i="1"/>
  <c r="R67" i="1" s="1"/>
  <c r="N68" i="1" s="1"/>
  <c r="U96" i="1" l="1"/>
  <c r="AB95" i="1"/>
  <c r="AC95" i="1" s="1"/>
  <c r="AD94" i="1"/>
  <c r="AA95" i="1" s="1"/>
  <c r="AD95" i="1" s="1"/>
  <c r="AA96" i="1" s="1"/>
  <c r="P68" i="1"/>
  <c r="V68" i="1" l="1"/>
  <c r="W68" i="1" s="1"/>
  <c r="Q68" i="1"/>
  <c r="R68" i="1" s="1"/>
  <c r="N69" i="1" s="1"/>
  <c r="U97" i="1"/>
  <c r="AB96" i="1"/>
  <c r="AC96" i="1" s="1"/>
  <c r="P69" i="1" l="1"/>
  <c r="AD96" i="1"/>
  <c r="AA97" i="1" s="1"/>
  <c r="U98" i="1"/>
  <c r="AB97" i="1"/>
  <c r="AC97" i="1" s="1"/>
  <c r="V69" i="1" l="1"/>
  <c r="W69" i="1" s="1"/>
  <c r="Q69" i="1"/>
  <c r="R69" i="1" s="1"/>
  <c r="N70" i="1" s="1"/>
  <c r="U99" i="1"/>
  <c r="AB98" i="1"/>
  <c r="AC98" i="1" s="1"/>
  <c r="AD97" i="1"/>
  <c r="AA98" i="1" s="1"/>
  <c r="AD98" i="1" s="1"/>
  <c r="AA99" i="1" s="1"/>
  <c r="U100" i="1" l="1"/>
  <c r="AB99" i="1"/>
  <c r="AC99" i="1" s="1"/>
  <c r="P70" i="1"/>
  <c r="V70" i="1" l="1"/>
  <c r="W70" i="1" s="1"/>
  <c r="Q70" i="1"/>
  <c r="R70" i="1" s="1"/>
  <c r="N71" i="1" s="1"/>
  <c r="U101" i="1"/>
  <c r="AB100" i="1"/>
  <c r="AC100" i="1" s="1"/>
  <c r="AD99" i="1"/>
  <c r="AA100" i="1" s="1"/>
  <c r="AD100" i="1" s="1"/>
  <c r="AA101" i="1" s="1"/>
  <c r="U102" i="1" l="1"/>
  <c r="AB101" i="1"/>
  <c r="AC101" i="1" s="1"/>
  <c r="P71" i="1"/>
  <c r="V71" i="1" l="1"/>
  <c r="W71" i="1" s="1"/>
  <c r="Q71" i="1"/>
  <c r="R71" i="1" s="1"/>
  <c r="N72" i="1" s="1"/>
  <c r="AB102" i="1"/>
  <c r="AC102" i="1" s="1"/>
  <c r="U103" i="1"/>
  <c r="AD101" i="1"/>
  <c r="AA102" i="1" s="1"/>
  <c r="AD102" i="1" s="1"/>
  <c r="AA103" i="1" s="1"/>
  <c r="P72" i="1" l="1"/>
  <c r="AB103" i="1"/>
  <c r="AC103" i="1" s="1"/>
  <c r="U104" i="1"/>
  <c r="AD103" i="1" l="1"/>
  <c r="AA104" i="1" s="1"/>
  <c r="AB104" i="1"/>
  <c r="AC104" i="1" s="1"/>
  <c r="U105" i="1"/>
  <c r="V72" i="1"/>
  <c r="W72" i="1" s="1"/>
  <c r="Q72" i="1"/>
  <c r="R72" i="1" s="1"/>
  <c r="N73" i="1" s="1"/>
  <c r="P73" i="1" l="1"/>
  <c r="AB105" i="1"/>
  <c r="AC105" i="1" s="1"/>
  <c r="U106" i="1"/>
  <c r="AD104" i="1"/>
  <c r="AA105" i="1" s="1"/>
  <c r="AD105" i="1" s="1"/>
  <c r="AA106" i="1" s="1"/>
  <c r="AB106" i="1" l="1"/>
  <c r="AC106" i="1" s="1"/>
  <c r="U107" i="1"/>
  <c r="V73" i="1"/>
  <c r="W73" i="1" s="1"/>
  <c r="Q73" i="1"/>
  <c r="R73" i="1" s="1"/>
  <c r="N74" i="1" s="1"/>
  <c r="P74" i="1" l="1"/>
  <c r="AB107" i="1"/>
  <c r="AC107" i="1" s="1"/>
  <c r="U108" i="1"/>
  <c r="AD106" i="1"/>
  <c r="AA107" i="1" s="1"/>
  <c r="AD107" i="1" s="1"/>
  <c r="AA108" i="1" s="1"/>
  <c r="AB108" i="1" l="1"/>
  <c r="AC108" i="1" s="1"/>
  <c r="U109" i="1"/>
  <c r="V74" i="1"/>
  <c r="W74" i="1" s="1"/>
  <c r="Q74" i="1"/>
  <c r="R74" i="1" s="1"/>
  <c r="N75" i="1" s="1"/>
  <c r="P75" i="1" l="1"/>
  <c r="AB109" i="1"/>
  <c r="AC109" i="1" s="1"/>
  <c r="U110" i="1"/>
  <c r="AD108" i="1"/>
  <c r="AA109" i="1" s="1"/>
  <c r="AD109" i="1" s="1"/>
  <c r="AA110" i="1" s="1"/>
  <c r="AB110" i="1" l="1"/>
  <c r="AC110" i="1" s="1"/>
  <c r="U111" i="1"/>
  <c r="V75" i="1"/>
  <c r="W75" i="1" s="1"/>
  <c r="Q75" i="1"/>
  <c r="R75" i="1" s="1"/>
  <c r="N76" i="1" s="1"/>
  <c r="P76" i="1" l="1"/>
  <c r="AB111" i="1"/>
  <c r="AC111" i="1" s="1"/>
  <c r="U112" i="1"/>
  <c r="AD110" i="1"/>
  <c r="AA111" i="1" s="1"/>
  <c r="AD111" i="1" s="1"/>
  <c r="AA112" i="1" s="1"/>
  <c r="AB112" i="1" l="1"/>
  <c r="AC112" i="1" s="1"/>
  <c r="U113" i="1"/>
  <c r="V76" i="1"/>
  <c r="W76" i="1" s="1"/>
  <c r="Q76" i="1"/>
  <c r="R76" i="1" s="1"/>
  <c r="N77" i="1" s="1"/>
  <c r="P77" i="1" l="1"/>
  <c r="AB113" i="1"/>
  <c r="AC113" i="1" s="1"/>
  <c r="AD112" i="1"/>
  <c r="AA113" i="1" s="1"/>
  <c r="AD113" i="1" s="1"/>
  <c r="V77" i="1" l="1"/>
  <c r="W77" i="1" s="1"/>
  <c r="Q77" i="1"/>
  <c r="R77" i="1" s="1"/>
  <c r="N78" i="1" s="1"/>
  <c r="P78" i="1" l="1"/>
  <c r="V78" i="1" l="1"/>
  <c r="W78" i="1" s="1"/>
  <c r="Q78" i="1"/>
  <c r="R78" i="1" s="1"/>
  <c r="N79" i="1" s="1"/>
  <c r="P79" i="1" l="1"/>
  <c r="V79" i="1" l="1"/>
  <c r="W79" i="1" s="1"/>
  <c r="Q79" i="1"/>
  <c r="R79" i="1" s="1"/>
  <c r="N80" i="1" s="1"/>
  <c r="P80" i="1" l="1"/>
  <c r="V80" i="1" l="1"/>
  <c r="W80" i="1" s="1"/>
  <c r="Q80" i="1"/>
  <c r="R80" i="1" s="1"/>
  <c r="N81" i="1" s="1"/>
  <c r="P81" i="1" l="1"/>
  <c r="V81" i="1" l="1"/>
  <c r="W81" i="1" s="1"/>
  <c r="Q81" i="1"/>
  <c r="R81" i="1" s="1"/>
  <c r="N82" i="1" s="1"/>
  <c r="P82" i="1" l="1"/>
  <c r="V82" i="1" l="1"/>
  <c r="W82" i="1" s="1"/>
  <c r="Q82" i="1"/>
  <c r="R82" i="1" s="1"/>
  <c r="N83" i="1" s="1"/>
  <c r="P83" i="1" l="1"/>
  <c r="V83" i="1" l="1"/>
  <c r="W83" i="1" s="1"/>
  <c r="Q83" i="1"/>
  <c r="R83" i="1" s="1"/>
  <c r="N84" i="1" s="1"/>
  <c r="P84" i="1" l="1"/>
  <c r="V84" i="1" l="1"/>
  <c r="W84" i="1" s="1"/>
  <c r="Q84" i="1"/>
  <c r="R84" i="1" s="1"/>
  <c r="N85" i="1" s="1"/>
  <c r="P85" i="1" l="1"/>
  <c r="V85" i="1" l="1"/>
  <c r="W85" i="1" s="1"/>
  <c r="Q85" i="1"/>
  <c r="R85" i="1" s="1"/>
  <c r="N86" i="1" s="1"/>
  <c r="P86" i="1" l="1"/>
  <c r="V86" i="1" l="1"/>
  <c r="W86" i="1" s="1"/>
  <c r="Q86" i="1"/>
  <c r="R86" i="1" s="1"/>
  <c r="N87" i="1" s="1"/>
  <c r="P87" i="1" l="1"/>
  <c r="V87" i="1" l="1"/>
  <c r="W87" i="1" s="1"/>
  <c r="Q87" i="1"/>
  <c r="R87" i="1" s="1"/>
  <c r="N88" i="1" s="1"/>
  <c r="P88" i="1" l="1"/>
  <c r="V88" i="1" l="1"/>
  <c r="W88" i="1" s="1"/>
  <c r="Q88" i="1"/>
  <c r="R88" i="1" s="1"/>
  <c r="N89" i="1" s="1"/>
  <c r="P89" i="1" l="1"/>
  <c r="V89" i="1" l="1"/>
  <c r="W89" i="1" s="1"/>
  <c r="Q89" i="1"/>
  <c r="R89" i="1" s="1"/>
  <c r="N90" i="1" s="1"/>
  <c r="P90" i="1" l="1"/>
  <c r="V90" i="1" l="1"/>
  <c r="W90" i="1" s="1"/>
  <c r="Q90" i="1"/>
  <c r="R90" i="1" s="1"/>
  <c r="N91" i="1" s="1"/>
  <c r="P91" i="1" l="1"/>
  <c r="V91" i="1" l="1"/>
  <c r="W91" i="1" s="1"/>
  <c r="Q91" i="1"/>
  <c r="R91" i="1" s="1"/>
  <c r="N92" i="1" s="1"/>
  <c r="P92" i="1" l="1"/>
  <c r="V92" i="1" l="1"/>
  <c r="W92" i="1" s="1"/>
  <c r="Q92" i="1"/>
  <c r="R92" i="1" s="1"/>
  <c r="N93" i="1" s="1"/>
  <c r="P93" i="1" l="1"/>
  <c r="V93" i="1" l="1"/>
  <c r="W93" i="1" s="1"/>
  <c r="Q93" i="1"/>
  <c r="R93" i="1" s="1"/>
  <c r="N94" i="1" s="1"/>
  <c r="P94" i="1" l="1"/>
  <c r="V94" i="1" l="1"/>
  <c r="W94" i="1" s="1"/>
  <c r="Q94" i="1"/>
  <c r="R94" i="1" s="1"/>
  <c r="N95" i="1" s="1"/>
  <c r="P95" i="1" l="1"/>
  <c r="V95" i="1" l="1"/>
  <c r="W95" i="1" s="1"/>
  <c r="Q95" i="1"/>
  <c r="R95" i="1" s="1"/>
  <c r="N96" i="1" s="1"/>
  <c r="P96" i="1" l="1"/>
  <c r="V96" i="1" l="1"/>
  <c r="W96" i="1" s="1"/>
  <c r="Q96" i="1"/>
  <c r="R96" i="1" s="1"/>
  <c r="N97" i="1" s="1"/>
  <c r="P97" i="1" l="1"/>
  <c r="V97" i="1" l="1"/>
  <c r="W97" i="1" s="1"/>
  <c r="Q97" i="1"/>
  <c r="R97" i="1" s="1"/>
  <c r="N98" i="1" s="1"/>
  <c r="P98" i="1" l="1"/>
  <c r="V98" i="1" l="1"/>
  <c r="W98" i="1" s="1"/>
  <c r="Q98" i="1"/>
  <c r="R98" i="1" s="1"/>
  <c r="N99" i="1" s="1"/>
  <c r="P99" i="1" l="1"/>
  <c r="V99" i="1" l="1"/>
  <c r="W99" i="1" s="1"/>
  <c r="Q99" i="1"/>
  <c r="R99" i="1" s="1"/>
  <c r="N100" i="1" s="1"/>
  <c r="P100" i="1" l="1"/>
  <c r="V100" i="1" l="1"/>
  <c r="W100" i="1" s="1"/>
  <c r="Q100" i="1"/>
  <c r="R100" i="1" s="1"/>
  <c r="N101" i="1" s="1"/>
  <c r="P101" i="1" l="1"/>
  <c r="V101" i="1" l="1"/>
  <c r="W101" i="1" s="1"/>
  <c r="Q101" i="1"/>
  <c r="R101" i="1" s="1"/>
  <c r="N102" i="1" s="1"/>
  <c r="P102" i="1" l="1"/>
  <c r="V102" i="1" l="1"/>
  <c r="W102" i="1" s="1"/>
  <c r="Q102" i="1"/>
  <c r="R102" i="1" s="1"/>
  <c r="N103" i="1" s="1"/>
  <c r="P103" i="1" l="1"/>
  <c r="V103" i="1" l="1"/>
  <c r="W103" i="1" s="1"/>
  <c r="Q103" i="1"/>
  <c r="R103" i="1" s="1"/>
  <c r="N104" i="1" s="1"/>
  <c r="P104" i="1" l="1"/>
  <c r="V104" i="1" l="1"/>
  <c r="W104" i="1" s="1"/>
  <c r="Q104" i="1"/>
  <c r="R104" i="1" s="1"/>
  <c r="N105" i="1" s="1"/>
  <c r="P105" i="1" l="1"/>
  <c r="V105" i="1" l="1"/>
  <c r="W105" i="1" s="1"/>
  <c r="Q105" i="1"/>
  <c r="R105" i="1" s="1"/>
  <c r="N106" i="1" s="1"/>
  <c r="P106" i="1" l="1"/>
  <c r="V106" i="1" l="1"/>
  <c r="W106" i="1" s="1"/>
  <c r="Q106" i="1"/>
  <c r="R106" i="1" s="1"/>
  <c r="N107" i="1" s="1"/>
  <c r="P107" i="1" l="1"/>
  <c r="V107" i="1" l="1"/>
  <c r="W107" i="1" s="1"/>
  <c r="Q107" i="1"/>
  <c r="R107" i="1" s="1"/>
  <c r="N108" i="1" s="1"/>
  <c r="P108" i="1" l="1"/>
  <c r="V108" i="1" l="1"/>
  <c r="W108" i="1" s="1"/>
  <c r="Q108" i="1"/>
  <c r="R108" i="1" s="1"/>
  <c r="N109" i="1" s="1"/>
  <c r="P109" i="1" l="1"/>
  <c r="V109" i="1" l="1"/>
  <c r="W109" i="1" s="1"/>
  <c r="Q109" i="1"/>
  <c r="R109" i="1" s="1"/>
  <c r="N110" i="1" s="1"/>
  <c r="P110" i="1" l="1"/>
  <c r="V110" i="1" l="1"/>
  <c r="W110" i="1" s="1"/>
  <c r="Q110" i="1"/>
  <c r="R110" i="1" s="1"/>
  <c r="N111" i="1" s="1"/>
  <c r="P111" i="1" l="1"/>
  <c r="V111" i="1" l="1"/>
  <c r="W111" i="1" s="1"/>
  <c r="Q111" i="1"/>
  <c r="R111" i="1" s="1"/>
  <c r="N112" i="1" s="1"/>
  <c r="P112" i="1" l="1"/>
  <c r="V112" i="1" l="1"/>
  <c r="W112" i="1" s="1"/>
  <c r="Q112" i="1"/>
  <c r="R112" i="1" s="1"/>
  <c r="N113" i="1" s="1"/>
  <c r="P113" i="1" l="1"/>
  <c r="V113" i="1" l="1"/>
  <c r="W113" i="1" s="1"/>
  <c r="Q113" i="1"/>
  <c r="H122" i="1" a="1"/>
  <c r="H122" i="1" s="1"/>
  <c r="H121" i="1" l="1" a="1"/>
  <c r="R113" i="1"/>
  <c r="BV126" i="1" l="1"/>
  <c r="BV127" i="1" s="1"/>
  <c r="BJ126" i="1"/>
  <c r="BJ127" i="1" s="1"/>
  <c r="AX126" i="1"/>
  <c r="AX127" i="1" s="1"/>
  <c r="AL126" i="1"/>
  <c r="AL127" i="1" s="1"/>
  <c r="Z126" i="1"/>
  <c r="Z127" i="1" s="1"/>
  <c r="N126" i="1"/>
  <c r="N127" i="1" s="1"/>
  <c r="BX123" i="1"/>
  <c r="BX129" i="1" s="1"/>
  <c r="BX131" i="1" s="1"/>
  <c r="BL123" i="1"/>
  <c r="BL129" i="1" s="1"/>
  <c r="BL131" i="1" s="1"/>
  <c r="AZ123" i="1"/>
  <c r="AZ129" i="1" s="1"/>
  <c r="AZ131" i="1" s="1"/>
  <c r="AN123" i="1"/>
  <c r="AN129" i="1" s="1"/>
  <c r="AN131" i="1" s="1"/>
  <c r="AB123" i="1"/>
  <c r="AB129" i="1" s="1"/>
  <c r="AB131" i="1" s="1"/>
  <c r="P123" i="1"/>
  <c r="P129" i="1" s="1"/>
  <c r="P131" i="1" s="1"/>
  <c r="BU126" i="1"/>
  <c r="BU127" i="1" s="1"/>
  <c r="BI126" i="1"/>
  <c r="BI127" i="1" s="1"/>
  <c r="AW126" i="1"/>
  <c r="AW127" i="1" s="1"/>
  <c r="AK126" i="1"/>
  <c r="AK127" i="1" s="1"/>
  <c r="Y126" i="1"/>
  <c r="Y127" i="1" s="1"/>
  <c r="M126" i="1"/>
  <c r="M127" i="1" s="1"/>
  <c r="BW123" i="1"/>
  <c r="BW129" i="1" s="1"/>
  <c r="BW131" i="1" s="1"/>
  <c r="BK123" i="1"/>
  <c r="BK129" i="1" s="1"/>
  <c r="BK131" i="1" s="1"/>
  <c r="AY123" i="1"/>
  <c r="AY129" i="1" s="1"/>
  <c r="AY131" i="1" s="1"/>
  <c r="AM123" i="1"/>
  <c r="AM129" i="1" s="1"/>
  <c r="AM131" i="1" s="1"/>
  <c r="AA123" i="1"/>
  <c r="AA129" i="1" s="1"/>
  <c r="AA131" i="1" s="1"/>
  <c r="O123" i="1"/>
  <c r="O129" i="1" s="1"/>
  <c r="O131" i="1" s="1"/>
  <c r="BY126" i="1"/>
  <c r="BY127" i="1" s="1"/>
  <c r="BK126" i="1"/>
  <c r="BK127" i="1" s="1"/>
  <c r="AU126" i="1"/>
  <c r="AU127" i="1" s="1"/>
  <c r="AG126" i="1"/>
  <c r="AG127" i="1" s="1"/>
  <c r="S126" i="1"/>
  <c r="S127" i="1" s="1"/>
  <c r="CA123" i="1"/>
  <c r="CA129" i="1" s="1"/>
  <c r="CA131" i="1" s="1"/>
  <c r="BM123" i="1"/>
  <c r="BM129" i="1" s="1"/>
  <c r="BM131" i="1" s="1"/>
  <c r="AW123" i="1"/>
  <c r="AW129" i="1" s="1"/>
  <c r="AW131" i="1" s="1"/>
  <c r="AI123" i="1"/>
  <c r="AI129" i="1" s="1"/>
  <c r="AI131" i="1" s="1"/>
  <c r="U123" i="1"/>
  <c r="U129" i="1" s="1"/>
  <c r="U131" i="1" s="1"/>
  <c r="BX126" i="1"/>
  <c r="BX127" i="1" s="1"/>
  <c r="BH126" i="1"/>
  <c r="BH127" i="1" s="1"/>
  <c r="AT126" i="1"/>
  <c r="AT127" i="1" s="1"/>
  <c r="AF126" i="1"/>
  <c r="AF127" i="1" s="1"/>
  <c r="R126" i="1"/>
  <c r="R127" i="1" s="1"/>
  <c r="BZ123" i="1"/>
  <c r="BZ129" i="1" s="1"/>
  <c r="BZ131" i="1" s="1"/>
  <c r="BJ123" i="1"/>
  <c r="BJ129" i="1" s="1"/>
  <c r="BJ131" i="1" s="1"/>
  <c r="AV123" i="1"/>
  <c r="AV129" i="1" s="1"/>
  <c r="AV131" i="1" s="1"/>
  <c r="AH123" i="1"/>
  <c r="AH129" i="1" s="1"/>
  <c r="AH131" i="1" s="1"/>
  <c r="T123" i="1"/>
  <c r="T129" i="1" s="1"/>
  <c r="T131" i="1" s="1"/>
  <c r="BW126" i="1"/>
  <c r="BW127" i="1" s="1"/>
  <c r="BG126" i="1"/>
  <c r="BG127" i="1" s="1"/>
  <c r="AS126" i="1"/>
  <c r="AS127" i="1" s="1"/>
  <c r="AE126" i="1"/>
  <c r="AE127" i="1" s="1"/>
  <c r="Q126" i="1"/>
  <c r="Q127" i="1" s="1"/>
  <c r="BY123" i="1"/>
  <c r="BY129" i="1" s="1"/>
  <c r="BY131" i="1" s="1"/>
  <c r="BT126" i="1"/>
  <c r="BT127" i="1" s="1"/>
  <c r="BC126" i="1"/>
  <c r="BC127" i="1" s="1"/>
  <c r="AJ126" i="1"/>
  <c r="AJ127" i="1" s="1"/>
  <c r="P126" i="1"/>
  <c r="P127" i="1" s="1"/>
  <c r="BS123" i="1"/>
  <c r="BS129" i="1" s="1"/>
  <c r="BS131" i="1" s="1"/>
  <c r="BC123" i="1"/>
  <c r="BC129" i="1" s="1"/>
  <c r="BC131" i="1" s="1"/>
  <c r="AK123" i="1"/>
  <c r="AK129" i="1" s="1"/>
  <c r="AK131" i="1" s="1"/>
  <c r="S123" i="1"/>
  <c r="S129" i="1" s="1"/>
  <c r="S131" i="1" s="1"/>
  <c r="BS126" i="1"/>
  <c r="BS127" i="1" s="1"/>
  <c r="BB126" i="1"/>
  <c r="BB127" i="1" s="1"/>
  <c r="AI126" i="1"/>
  <c r="AI127" i="1" s="1"/>
  <c r="O126" i="1"/>
  <c r="O127" i="1" s="1"/>
  <c r="BR123" i="1"/>
  <c r="BR129" i="1" s="1"/>
  <c r="BR131" i="1" s="1"/>
  <c r="BB123" i="1"/>
  <c r="BB129" i="1" s="1"/>
  <c r="BB131" i="1" s="1"/>
  <c r="AJ123" i="1"/>
  <c r="AJ129" i="1" s="1"/>
  <c r="AJ131" i="1" s="1"/>
  <c r="R123" i="1"/>
  <c r="R129" i="1" s="1"/>
  <c r="R131" i="1" s="1"/>
  <c r="BR126" i="1"/>
  <c r="BR127" i="1" s="1"/>
  <c r="BA126" i="1"/>
  <c r="BA127" i="1" s="1"/>
  <c r="AH126" i="1"/>
  <c r="AH127" i="1" s="1"/>
  <c r="L126" i="1"/>
  <c r="L127" i="1" s="1"/>
  <c r="BQ123" i="1"/>
  <c r="BQ129" i="1" s="1"/>
  <c r="BQ131" i="1" s="1"/>
  <c r="BA123" i="1"/>
  <c r="BA129" i="1" s="1"/>
  <c r="BA131" i="1" s="1"/>
  <c r="AG123" i="1"/>
  <c r="AG129" i="1" s="1"/>
  <c r="AG131" i="1" s="1"/>
  <c r="Q123" i="1"/>
  <c r="Q129" i="1" s="1"/>
  <c r="Q131" i="1" s="1"/>
  <c r="AZ126" i="1"/>
  <c r="AZ127" i="1" s="1"/>
  <c r="AA126" i="1"/>
  <c r="AA127" i="1" s="1"/>
  <c r="BV123" i="1"/>
  <c r="BV129" i="1" s="1"/>
  <c r="BV131" i="1" s="1"/>
  <c r="AX123" i="1"/>
  <c r="AX129" i="1" s="1"/>
  <c r="AX131" i="1" s="1"/>
  <c r="AC123" i="1"/>
  <c r="AC129" i="1" s="1"/>
  <c r="AC131" i="1" s="1"/>
  <c r="CA126" i="1"/>
  <c r="CA127" i="1" s="1"/>
  <c r="AY126" i="1"/>
  <c r="AY127" i="1" s="1"/>
  <c r="X126" i="1"/>
  <c r="X127" i="1" s="1"/>
  <c r="BU123" i="1"/>
  <c r="BU129" i="1" s="1"/>
  <c r="BU131" i="1" s="1"/>
  <c r="AU123" i="1"/>
  <c r="AU129" i="1" s="1"/>
  <c r="AU131" i="1" s="1"/>
  <c r="Z123" i="1"/>
  <c r="Z129" i="1" s="1"/>
  <c r="Z131" i="1" s="1"/>
  <c r="H121" i="1"/>
  <c r="BZ126" i="1"/>
  <c r="BZ127" i="1" s="1"/>
  <c r="AV126" i="1"/>
  <c r="AV127" i="1" s="1"/>
  <c r="W126" i="1"/>
  <c r="W127" i="1" s="1"/>
  <c r="BT123" i="1"/>
  <c r="BT129" i="1" s="1"/>
  <c r="BT131" i="1" s="1"/>
  <c r="AT123" i="1"/>
  <c r="AT129" i="1" s="1"/>
  <c r="AT131" i="1" s="1"/>
  <c r="Y123" i="1"/>
  <c r="Y129" i="1" s="1"/>
  <c r="Y131" i="1" s="1"/>
  <c r="BN126" i="1"/>
  <c r="BN127" i="1" s="1"/>
  <c r="AD126" i="1"/>
  <c r="AD127" i="1" s="1"/>
  <c r="BP123" i="1"/>
  <c r="BP129" i="1" s="1"/>
  <c r="BP131" i="1" s="1"/>
  <c r="AP123" i="1"/>
  <c r="AP129" i="1" s="1"/>
  <c r="AP131" i="1" s="1"/>
  <c r="K123" i="1"/>
  <c r="K129" i="1" s="1"/>
  <c r="K131" i="1" s="1"/>
  <c r="BM126" i="1"/>
  <c r="BM127" i="1" s="1"/>
  <c r="AC126" i="1"/>
  <c r="AC127" i="1" s="1"/>
  <c r="BO123" i="1"/>
  <c r="BO129" i="1" s="1"/>
  <c r="BO131" i="1" s="1"/>
  <c r="AO123" i="1"/>
  <c r="AO129" i="1" s="1"/>
  <c r="AO131" i="1" s="1"/>
  <c r="J123" i="1"/>
  <c r="J129" i="1" s="1"/>
  <c r="J131" i="1" s="1"/>
  <c r="BL126" i="1"/>
  <c r="BL127" i="1" s="1"/>
  <c r="AB126" i="1"/>
  <c r="AB127" i="1" s="1"/>
  <c r="BN123" i="1"/>
  <c r="BN129" i="1" s="1"/>
  <c r="BN131" i="1" s="1"/>
  <c r="AL123" i="1"/>
  <c r="AL129" i="1" s="1"/>
  <c r="AL131" i="1" s="1"/>
  <c r="I123" i="1"/>
  <c r="I129" i="1" s="1"/>
  <c r="I131" i="1" s="1"/>
  <c r="BF126" i="1"/>
  <c r="BF127" i="1" s="1"/>
  <c r="V126" i="1"/>
  <c r="V127" i="1" s="1"/>
  <c r="BI123" i="1"/>
  <c r="BI129" i="1" s="1"/>
  <c r="BI131" i="1" s="1"/>
  <c r="AF123" i="1"/>
  <c r="AF129" i="1" s="1"/>
  <c r="AF131" i="1" s="1"/>
  <c r="AP126" i="1"/>
  <c r="AP127" i="1" s="1"/>
  <c r="BH123" i="1"/>
  <c r="BH129" i="1" s="1"/>
  <c r="BH131" i="1" s="1"/>
  <c r="V123" i="1"/>
  <c r="V129" i="1" s="1"/>
  <c r="V131" i="1" s="1"/>
  <c r="AN126" i="1"/>
  <c r="AN127" i="1" s="1"/>
  <c r="BF123" i="1"/>
  <c r="BF129" i="1" s="1"/>
  <c r="BF131" i="1" s="1"/>
  <c r="M123" i="1"/>
  <c r="M129" i="1" s="1"/>
  <c r="M131" i="1" s="1"/>
  <c r="BQ126" i="1"/>
  <c r="BQ127" i="1" s="1"/>
  <c r="J126" i="1"/>
  <c r="J127" i="1" s="1"/>
  <c r="AD123" i="1"/>
  <c r="AD129" i="1" s="1"/>
  <c r="AD131" i="1" s="1"/>
  <c r="BD126" i="1"/>
  <c r="BD127" i="1" s="1"/>
  <c r="BP126" i="1"/>
  <c r="BP127" i="1" s="1"/>
  <c r="I126" i="1"/>
  <c r="I127" i="1" s="1"/>
  <c r="X123" i="1"/>
  <c r="X129" i="1" s="1"/>
  <c r="X131" i="1" s="1"/>
  <c r="BO126" i="1"/>
  <c r="BO127" i="1" s="1"/>
  <c r="W123" i="1"/>
  <c r="W129" i="1" s="1"/>
  <c r="W131" i="1" s="1"/>
  <c r="L123" i="1"/>
  <c r="L129" i="1" s="1"/>
  <c r="L131" i="1" s="1"/>
  <c r="BG123" i="1"/>
  <c r="BG129" i="1" s="1"/>
  <c r="BG131" i="1" s="1"/>
  <c r="AQ126" i="1"/>
  <c r="AQ127" i="1" s="1"/>
  <c r="BE126" i="1"/>
  <c r="BE127" i="1" s="1"/>
  <c r="N123" i="1"/>
  <c r="N129" i="1" s="1"/>
  <c r="N131" i="1" s="1"/>
  <c r="AR126" i="1"/>
  <c r="AR127" i="1" s="1"/>
  <c r="BE123" i="1"/>
  <c r="BE129" i="1" s="1"/>
  <c r="BE131" i="1" s="1"/>
  <c r="AO126" i="1"/>
  <c r="AO127" i="1" s="1"/>
  <c r="AM126" i="1"/>
  <c r="AM127" i="1" s="1"/>
  <c r="U126" i="1"/>
  <c r="U127" i="1" s="1"/>
  <c r="T126" i="1"/>
  <c r="T127" i="1" s="1"/>
  <c r="K126" i="1"/>
  <c r="K127" i="1" s="1"/>
  <c r="BD123" i="1"/>
  <c r="BD129" i="1" s="1"/>
  <c r="BD131" i="1" s="1"/>
  <c r="AS123" i="1"/>
  <c r="AS129" i="1" s="1"/>
  <c r="AS131" i="1" s="1"/>
  <c r="AR123" i="1"/>
  <c r="AR129" i="1" s="1"/>
  <c r="AR131" i="1" s="1"/>
  <c r="AQ123" i="1"/>
  <c r="AQ129" i="1" s="1"/>
  <c r="AQ131" i="1" s="1"/>
  <c r="AE123" i="1"/>
  <c r="AE129" i="1" s="1"/>
  <c r="AE131" i="1" s="1"/>
  <c r="H123" i="1" l="1"/>
  <c r="H129" i="1" s="1"/>
  <c r="H131" i="1" s="1"/>
  <c r="H126" i="1"/>
  <c r="H1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NEW</author>
  </authors>
  <commentList>
    <comment ref="H131" authorId="0" shapeId="0" xr:uid="{799D3EE9-9065-443D-89A2-444E445A5C7F}">
      <text>
        <r>
          <rPr>
            <b/>
            <sz val="9"/>
            <color indexed="81"/>
            <rFont val="Tahoma"/>
            <family val="2"/>
          </rPr>
          <t>NEW:</t>
        </r>
        <r>
          <rPr>
            <sz val="9"/>
            <color indexed="81"/>
            <rFont val="Tahoma"/>
            <family val="2"/>
          </rPr>
          <t xml:space="preserve">
Payment of rent after deduction of AIT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<sst xmlns="http://schemas.openxmlformats.org/spreadsheetml/2006/main" count="184" uniqueCount="133">
  <si>
    <t>Lease building for Repacking Unit</t>
  </si>
  <si>
    <t>Contract ID</t>
  </si>
  <si>
    <t>:</t>
  </si>
  <si>
    <t>Lessor</t>
  </si>
  <si>
    <t>Start Date</t>
  </si>
  <si>
    <t>End Date</t>
  </si>
  <si>
    <t>Lease Term</t>
  </si>
  <si>
    <t>Payment Date</t>
  </si>
  <si>
    <t>As per deed, within the 10th day of the running month</t>
  </si>
  <si>
    <t>Security Deposit</t>
  </si>
  <si>
    <t>(1 month rent will be refunded)</t>
  </si>
  <si>
    <t xml:space="preserve">Advance </t>
  </si>
  <si>
    <t>(will be adjusted equally in the last 2 months)</t>
  </si>
  <si>
    <t>Annuity due</t>
  </si>
  <si>
    <t>Incremental borrowing cost</t>
  </si>
  <si>
    <t>I. Initial recognition:</t>
  </si>
  <si>
    <t>PV of future lease payment:</t>
  </si>
  <si>
    <t>Advance rent</t>
  </si>
  <si>
    <t>Total RoU Assets</t>
  </si>
  <si>
    <t>Debit - Right of use (ROU) Assets</t>
  </si>
  <si>
    <t>Credit - Lease Liability (LL)</t>
  </si>
  <si>
    <t>Credit - Advance</t>
  </si>
  <si>
    <t>Journal entry for 2023</t>
  </si>
  <si>
    <t>Head</t>
  </si>
  <si>
    <t>Assets</t>
  </si>
  <si>
    <t>Liabilities and equity</t>
  </si>
  <si>
    <t>Income</t>
  </si>
  <si>
    <t>Expense</t>
  </si>
  <si>
    <t>Total</t>
  </si>
  <si>
    <t>Remarks</t>
  </si>
  <si>
    <t>Dr.</t>
  </si>
  <si>
    <t>Cr.</t>
  </si>
  <si>
    <t>Lease liability</t>
  </si>
  <si>
    <t>Current year lease payment</t>
  </si>
  <si>
    <t>Interest</t>
  </si>
  <si>
    <t xml:space="preserve">Depreciation </t>
  </si>
  <si>
    <t>Straight line depreciation</t>
  </si>
  <si>
    <t>Acc. Depreciation</t>
  </si>
  <si>
    <t>Rent expense</t>
  </si>
  <si>
    <t>Advance</t>
  </si>
  <si>
    <t>II. Subsquent measurement</t>
  </si>
  <si>
    <t xml:space="preserve">Lease Liability </t>
  </si>
  <si>
    <t>Lease liability amortization schedule</t>
  </si>
  <si>
    <t xml:space="preserve">IFRS 16 profit or loss account impact </t>
  </si>
  <si>
    <t>RoU asset schedule</t>
  </si>
  <si>
    <t>Month</t>
  </si>
  <si>
    <t>Date</t>
  </si>
  <si>
    <t>Remaining advance</t>
  </si>
  <si>
    <t>Lease payment</t>
  </si>
  <si>
    <t xml:space="preserve">Interest rate </t>
  </si>
  <si>
    <t>Discount factor</t>
  </si>
  <si>
    <t>Present value of lease payment</t>
  </si>
  <si>
    <t>Lease liability b/f (A)</t>
  </si>
  <si>
    <t>Interest (B=A*i/no. of month)</t>
  </si>
  <si>
    <t xml:space="preserve">Decrease in lease liability (C= lease payment -B) </t>
  </si>
  <si>
    <t>Lease liability c/f (D=A-C)</t>
  </si>
  <si>
    <t>Depreciation of the RoU asset (A)</t>
  </si>
  <si>
    <t>Interest expense (B)</t>
  </si>
  <si>
    <t>Total P&amp;L charge (D=A+B)</t>
  </si>
  <si>
    <t>Beginning RoU</t>
  </si>
  <si>
    <t>Depreciation of the RoU asset</t>
  </si>
  <si>
    <t>Accumulated depreciation</t>
  </si>
  <si>
    <t>WDV</t>
  </si>
  <si>
    <t>Journal entries under IFRS 16 (Monthly)</t>
  </si>
  <si>
    <t>Particulars</t>
  </si>
  <si>
    <t>GL code</t>
  </si>
  <si>
    <t>Ledgers</t>
  </si>
  <si>
    <t>Debit / Credit</t>
  </si>
  <si>
    <t>FS</t>
  </si>
  <si>
    <t>Lease rent accrual entry at the time of processing bill</t>
  </si>
  <si>
    <t>Land &amp; Building - lease liability</t>
  </si>
  <si>
    <t>Debit</t>
  </si>
  <si>
    <t>Liability</t>
  </si>
  <si>
    <t>Land &amp; Building - Interest expense</t>
  </si>
  <si>
    <t>Various</t>
  </si>
  <si>
    <t>Lessor / Vendor</t>
  </si>
  <si>
    <t>Credit</t>
  </si>
  <si>
    <t>Accounts payable</t>
  </si>
  <si>
    <t>Rent</t>
  </si>
  <si>
    <t>Lease Liability + Interest</t>
  </si>
  <si>
    <t>Difference</t>
  </si>
  <si>
    <t>Lease rent &amp; other expenses payment entry and adjustment of Security deposit</t>
  </si>
  <si>
    <t>WHT</t>
  </si>
  <si>
    <t>Bank</t>
  </si>
  <si>
    <t>Asset</t>
  </si>
  <si>
    <t>Provision of Withholding vat</t>
  </si>
  <si>
    <t>GST / VAT on lease rent</t>
  </si>
  <si>
    <t>WHV</t>
  </si>
  <si>
    <t>Amortization of ROU asset</t>
  </si>
  <si>
    <t>Land &amp; Building - Amortization expense</t>
  </si>
  <si>
    <t>Prov for Amortisation of Right to Use of Building</t>
  </si>
  <si>
    <t>Deposit of withholding tax and vat</t>
  </si>
  <si>
    <t>XYZ Company</t>
  </si>
  <si>
    <t>IFRS 16 Lease Accounting | Illustrative GitHub Portfolio Model</t>
  </si>
  <si>
    <t>Purpose</t>
  </si>
  <si>
    <t>This workbook demonstrates an illustrative IFRS 16 lease accounting model, including lease liability measurement, amortization, ROU asset depreciation and illustrative journal entries.</t>
  </si>
  <si>
    <t>Data Privacy</t>
  </si>
  <si>
    <t>All names, contract references, account codes and identifying information have been anonymized or replaced with illustrative values. No confidential employer or third-party information is intentionally included.</t>
  </si>
  <si>
    <t>Model Coverage</t>
  </si>
  <si>
    <t>• Lease assumptions and payment profile</t>
  </si>
  <si>
    <t>• Present value / lease liability calculation</t>
  </si>
  <si>
    <t>• Interest and principal allocation</t>
  </si>
  <si>
    <t>• Right-of-use asset and depreciation</t>
  </si>
  <si>
    <t>• Illustrative journal entries</t>
  </si>
  <si>
    <t>• Payment, tax/VAT and accounting presentation where applicable</t>
  </si>
  <si>
    <t>Important Note</t>
  </si>
  <si>
    <t>This is a portfolio demonstration model. It is not an extract of any current or former employer's confidential accounting records.</t>
  </si>
  <si>
    <t>Tools</t>
  </si>
  <si>
    <t>Microsoft Excel | IFRS 16</t>
  </si>
  <si>
    <t>Portfolio Review Notes</t>
  </si>
  <si>
    <t>1. This workbook is prepared for public portfolio demonstration.</t>
  </si>
  <si>
    <t>2. Identifying names, contract references and employer-specific identifiers have been anonymized.</t>
  </si>
  <si>
    <t>3. Before publication, independently verify all IFRS 16 assumptions and journal-entry treatment for the specific lease facts being demonstrated.</t>
  </si>
  <si>
    <t>4. The underlying lease deed/agreement must NOT be uploaded to GitHub.</t>
  </si>
  <si>
    <t>5. If this model is used in a professional engagement, applicable tax, VAT, withholding and local statutory requirements should be assessed separately.</t>
  </si>
  <si>
    <t>X161506</t>
  </si>
  <si>
    <t>Y234120</t>
  </si>
  <si>
    <t>A401220</t>
  </si>
  <si>
    <t>C400948</t>
  </si>
  <si>
    <t>D200648</t>
  </si>
  <si>
    <t>E161094</t>
  </si>
  <si>
    <t>F161506</t>
  </si>
  <si>
    <t>G234120</t>
  </si>
  <si>
    <t>B161094</t>
  </si>
  <si>
    <t>J160834</t>
  </si>
  <si>
    <t>K511070</t>
  </si>
  <si>
    <t>Test-XY4083760</t>
  </si>
  <si>
    <t>abc S. S. Steel xx Ltd (xx5710078)</t>
  </si>
  <si>
    <t>Monthly rent</t>
  </si>
  <si>
    <t>Interest expense</t>
  </si>
  <si>
    <t>Rent reversal</t>
  </si>
  <si>
    <t>Advance related to rent reversal</t>
  </si>
  <si>
    <t>Journal for recognition of ROU Asset: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</si>
</sst>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\ &quot;mnts&quot;"/>
    <numFmt numFmtId="166" formatCode="0.0%"/>
    <numFmt numFmtId="167" formatCode="0.000000%"/>
    <numFmt numFmtId="168" formatCode="[$-409]d\-mmm\-yy;@"/>
    <numFmt numFmtId="169" formatCode="_(* #,##0.0000_);_(* \(#,##0.0000\);_(* &quot;-&quot;??_);_(@_)"/>
    <numFmt numFmtId="170" formatCode="_ * #,##0_ ;_ * \-#,##0_ ;_ * &quot;-&quot;??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6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u val="doubleAccounting"/>
      <sz val="10"/>
      <name val="Arial"/>
      <family val="2"/>
    </font>
    <font>
      <b/>
      <sz val="11"/>
      <color theme="5" tint="-0.249977111117893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338D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2" fillId="2" borderId="10">
      <alignment horizontal="center" wrapText="1"/>
    </xf>
  </cellStyleXfs>
  <cellXfs count="154">
    <xf numFmtId="0" fontId="0" fillId="0" borderId="0" xfId="0"/>
    <xf numFmtId="0" fontId="4" fillId="0" borderId="0" xfId="0" applyFont="1"/>
    <xf numFmtId="164" fontId="5" fillId="0" borderId="0" xfId="1" applyNumberFormat="1" applyFont="1" applyFill="1" applyAlignment="1">
      <alignment horizontal="left"/>
    </xf>
    <xf numFmtId="164" fontId="5" fillId="0" borderId="0" xfId="1" applyNumberFormat="1" applyFont="1" applyFill="1"/>
    <xf numFmtId="164" fontId="5" fillId="0" borderId="0" xfId="1" applyNumberFormat="1" applyFont="1" applyFill="1" applyAlignment="1">
      <alignment horizontal="center" vertical="center"/>
    </xf>
    <xf numFmtId="15" fontId="5" fillId="0" borderId="0" xfId="1" applyNumberFormat="1" applyFont="1" applyFill="1"/>
    <xf numFmtId="0" fontId="5" fillId="0" borderId="0" xfId="0" applyFont="1"/>
    <xf numFmtId="0" fontId="5" fillId="0" borderId="1" xfId="0" applyFont="1" applyBorder="1"/>
    <xf numFmtId="164" fontId="5" fillId="0" borderId="2" xfId="1" applyNumberFormat="1" applyFont="1" applyBorder="1" applyAlignment="1">
      <alignment horizontal="left"/>
    </xf>
    <xf numFmtId="164" fontId="6" fillId="0" borderId="2" xfId="1" applyNumberFormat="1" applyFont="1" applyBorder="1" applyAlignment="1">
      <alignment horizontal="right"/>
    </xf>
    <xf numFmtId="164" fontId="5" fillId="0" borderId="3" xfId="1" applyNumberFormat="1" applyFont="1" applyBorder="1"/>
    <xf numFmtId="164" fontId="5" fillId="0" borderId="0" xfId="1" applyNumberFormat="1" applyFont="1"/>
    <xf numFmtId="164" fontId="5" fillId="0" borderId="0" xfId="1" applyNumberFormat="1" applyFont="1" applyAlignment="1">
      <alignment horizontal="center" vertical="center"/>
    </xf>
    <xf numFmtId="15" fontId="5" fillId="0" borderId="0" xfId="1" applyNumberFormat="1" applyFont="1"/>
    <xf numFmtId="0" fontId="5" fillId="0" borderId="4" xfId="0" applyFont="1" applyBorder="1"/>
    <xf numFmtId="164" fontId="5" fillId="0" borderId="0" xfId="1" applyNumberFormat="1" applyFont="1" applyBorder="1" applyAlignment="1">
      <alignment horizontal="left"/>
    </xf>
    <xf numFmtId="164" fontId="6" fillId="0" borderId="0" xfId="1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4" fontId="5" fillId="0" borderId="5" xfId="1" applyNumberFormat="1" applyFont="1" applyBorder="1"/>
    <xf numFmtId="15" fontId="7" fillId="0" borderId="0" xfId="0" applyNumberFormat="1" applyFont="1" applyAlignment="1">
      <alignment horizontal="left" wrapText="1"/>
    </xf>
    <xf numFmtId="165" fontId="7" fillId="0" borderId="0" xfId="0" applyNumberFormat="1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3" fillId="0" borderId="0" xfId="0" applyFont="1"/>
    <xf numFmtId="4" fontId="7" fillId="0" borderId="0" xfId="0" applyNumberFormat="1" applyFont="1" applyAlignment="1">
      <alignment horizontal="left" wrapText="1"/>
    </xf>
    <xf numFmtId="0" fontId="5" fillId="0" borderId="6" xfId="0" applyFont="1" applyBorder="1"/>
    <xf numFmtId="164" fontId="5" fillId="0" borderId="7" xfId="1" applyNumberFormat="1" applyFont="1" applyBorder="1" applyAlignment="1">
      <alignment horizontal="left"/>
    </xf>
    <xf numFmtId="164" fontId="6" fillId="0" borderId="7" xfId="1" applyNumberFormat="1" applyFont="1" applyBorder="1" applyAlignment="1">
      <alignment horizontal="right"/>
    </xf>
    <xf numFmtId="166" fontId="5" fillId="0" borderId="7" xfId="2" applyNumberFormat="1" applyFont="1" applyBorder="1" applyAlignment="1">
      <alignment horizontal="left"/>
    </xf>
    <xf numFmtId="167" fontId="5" fillId="0" borderId="7" xfId="2" applyNumberFormat="1" applyFont="1" applyBorder="1" applyAlignment="1">
      <alignment horizontal="left"/>
    </xf>
    <xf numFmtId="164" fontId="5" fillId="0" borderId="8" xfId="1" applyNumberFormat="1" applyFont="1" applyBorder="1"/>
    <xf numFmtId="164" fontId="5" fillId="0" borderId="0" xfId="1" applyNumberFormat="1" applyFont="1" applyAlignment="1">
      <alignment horizontal="left"/>
    </xf>
    <xf numFmtId="0" fontId="8" fillId="0" borderId="0" xfId="0" applyFont="1" applyAlignment="1">
      <alignment horizontal="left"/>
    </xf>
    <xf numFmtId="43" fontId="0" fillId="0" borderId="0" xfId="1" applyFont="1"/>
    <xf numFmtId="0" fontId="0" fillId="0" borderId="7" xfId="0" applyBorder="1"/>
    <xf numFmtId="43" fontId="0" fillId="0" borderId="7" xfId="1" applyFont="1" applyBorder="1"/>
    <xf numFmtId="0" fontId="3" fillId="0" borderId="9" xfId="0" applyFont="1" applyBorder="1"/>
    <xf numFmtId="4" fontId="3" fillId="0" borderId="9" xfId="1" applyNumberFormat="1" applyFont="1" applyBorder="1"/>
    <xf numFmtId="0" fontId="9" fillId="0" borderId="0" xfId="0" applyFont="1"/>
    <xf numFmtId="40" fontId="10" fillId="0" borderId="0" xfId="0" applyNumberFormat="1" applyFont="1"/>
    <xf numFmtId="40" fontId="0" fillId="0" borderId="0" xfId="0" applyNumberFormat="1" applyAlignment="1">
      <alignment horizontal="center"/>
    </xf>
    <xf numFmtId="0" fontId="11" fillId="0" borderId="0" xfId="0" applyFont="1" applyAlignment="1">
      <alignment vertical="center"/>
    </xf>
    <xf numFmtId="164" fontId="11" fillId="0" borderId="0" xfId="1" applyNumberFormat="1" applyFont="1" applyAlignment="1">
      <alignment horizontal="left" vertical="top" wrapText="1"/>
    </xf>
    <xf numFmtId="15" fontId="11" fillId="0" borderId="0" xfId="1" applyNumberFormat="1" applyFont="1" applyAlignment="1">
      <alignment horizontal="left"/>
    </xf>
    <xf numFmtId="164" fontId="11" fillId="0" borderId="0" xfId="1" applyNumberFormat="1" applyFont="1" applyAlignment="1">
      <alignment horizontal="left"/>
    </xf>
    <xf numFmtId="41" fontId="11" fillId="0" borderId="0" xfId="3" applyNumberFormat="1" applyFont="1" applyAlignment="1">
      <alignment horizontal="left"/>
    </xf>
    <xf numFmtId="0" fontId="11" fillId="0" borderId="0" xfId="3" applyFont="1" applyAlignment="1">
      <alignment horizontal="left"/>
    </xf>
    <xf numFmtId="164" fontId="12" fillId="3" borderId="10" xfId="1" applyNumberFormat="1" applyFont="1" applyFill="1" applyBorder="1" applyAlignment="1">
      <alignment horizontal="center" vertical="center" wrapText="1"/>
    </xf>
    <xf numFmtId="0" fontId="5" fillId="0" borderId="10" xfId="0" applyFont="1" applyBorder="1"/>
    <xf numFmtId="164" fontId="5" fillId="0" borderId="10" xfId="1" applyNumberFormat="1" applyFont="1" applyBorder="1"/>
    <xf numFmtId="164" fontId="5" fillId="0" borderId="10" xfId="1" applyNumberFormat="1" applyFont="1" applyFill="1" applyBorder="1"/>
    <xf numFmtId="164" fontId="11" fillId="0" borderId="10" xfId="1" applyNumberFormat="1" applyFont="1" applyBorder="1" applyAlignment="1">
      <alignment horizontal="left"/>
    </xf>
    <xf numFmtId="0" fontId="5" fillId="0" borderId="10" xfId="0" applyFont="1" applyBorder="1" applyAlignment="1">
      <alignment vertical="top" wrapText="1"/>
    </xf>
    <xf numFmtId="0" fontId="6" fillId="0" borderId="10" xfId="3" applyFont="1" applyBorder="1" applyAlignment="1">
      <alignment horizontal="right" vertical="top" wrapText="1"/>
    </xf>
    <xf numFmtId="164" fontId="6" fillId="0" borderId="10" xfId="1" applyNumberFormat="1" applyFont="1" applyFill="1" applyBorder="1" applyAlignment="1">
      <alignment horizontal="right" vertical="center"/>
    </xf>
    <xf numFmtId="164" fontId="5" fillId="0" borderId="0" xfId="1" quotePrefix="1" applyNumberFormat="1" applyFont="1"/>
    <xf numFmtId="164" fontId="5" fillId="0" borderId="0" xfId="1" applyNumberFormat="1" applyFont="1" applyFill="1" applyBorder="1"/>
    <xf numFmtId="0" fontId="12" fillId="0" borderId="0" xfId="4" applyFill="1" applyBorder="1" applyAlignment="1">
      <alignment horizontal="center" vertical="center" wrapText="1"/>
    </xf>
    <xf numFmtId="164" fontId="5" fillId="0" borderId="15" xfId="1" applyNumberFormat="1" applyFont="1" applyBorder="1" applyAlignment="1">
      <alignment vertical="center"/>
    </xf>
    <xf numFmtId="166" fontId="12" fillId="3" borderId="10" xfId="2" applyNumberFormat="1" applyFont="1" applyFill="1" applyBorder="1" applyAlignment="1">
      <alignment horizontal="center" vertical="center" wrapText="1"/>
    </xf>
    <xf numFmtId="15" fontId="12" fillId="3" borderId="10" xfId="1" applyNumberFormat="1" applyFont="1" applyFill="1" applyBorder="1" applyAlignment="1">
      <alignment horizontal="center" vertical="center" wrapText="1"/>
    </xf>
    <xf numFmtId="0" fontId="5" fillId="4" borderId="10" xfId="0" applyFont="1" applyFill="1" applyBorder="1"/>
    <xf numFmtId="168" fontId="5" fillId="4" borderId="10" xfId="1" applyNumberFormat="1" applyFont="1" applyFill="1" applyBorder="1" applyAlignment="1">
      <alignment horizontal="left" vertical="top"/>
    </xf>
    <xf numFmtId="164" fontId="5" fillId="4" borderId="10" xfId="1" applyNumberFormat="1" applyFont="1" applyFill="1" applyBorder="1" applyAlignment="1">
      <alignment horizontal="center" vertical="center" wrapText="1"/>
    </xf>
    <xf numFmtId="164" fontId="5" fillId="4" borderId="10" xfId="1" applyNumberFormat="1" applyFont="1" applyFill="1" applyBorder="1" applyAlignment="1">
      <alignment horizontal="left"/>
    </xf>
    <xf numFmtId="164" fontId="5" fillId="4" borderId="10" xfId="1" applyNumberFormat="1" applyFont="1" applyFill="1" applyBorder="1"/>
    <xf numFmtId="169" fontId="5" fillId="4" borderId="10" xfId="1" applyNumberFormat="1" applyFont="1" applyFill="1" applyBorder="1"/>
    <xf numFmtId="164" fontId="5" fillId="4" borderId="15" xfId="1" applyNumberFormat="1" applyFont="1" applyFill="1" applyBorder="1"/>
    <xf numFmtId="15" fontId="5" fillId="4" borderId="10" xfId="1" applyNumberFormat="1" applyFont="1" applyFill="1" applyBorder="1" applyAlignment="1">
      <alignment horizontal="left" vertical="top"/>
    </xf>
    <xf numFmtId="164" fontId="5" fillId="4" borderId="10" xfId="1" applyNumberFormat="1" applyFont="1" applyFill="1" applyBorder="1" applyAlignment="1">
      <alignment horizontal="right" vertical="center" wrapText="1"/>
    </xf>
    <xf numFmtId="164" fontId="5" fillId="4" borderId="10" xfId="1" applyNumberFormat="1" applyFont="1" applyFill="1" applyBorder="1" applyAlignment="1">
      <alignment wrapText="1"/>
    </xf>
    <xf numFmtId="164" fontId="5" fillId="4" borderId="0" xfId="1" applyNumberFormat="1" applyFont="1" applyFill="1"/>
    <xf numFmtId="15" fontId="5" fillId="4" borderId="10" xfId="1" applyNumberFormat="1" applyFont="1" applyFill="1" applyBorder="1" applyAlignment="1">
      <alignment horizontal="right" vertical="center" wrapText="1"/>
    </xf>
    <xf numFmtId="0" fontId="5" fillId="4" borderId="0" xfId="0" applyFont="1" applyFill="1"/>
    <xf numFmtId="168" fontId="5" fillId="0" borderId="10" xfId="1" applyNumberFormat="1" applyFont="1" applyFill="1" applyBorder="1" applyAlignment="1">
      <alignment horizontal="left" vertical="top"/>
    </xf>
    <xf numFmtId="164" fontId="5" fillId="0" borderId="10" xfId="1" applyNumberFormat="1" applyFont="1" applyFill="1" applyBorder="1" applyAlignment="1">
      <alignment horizontal="center" vertical="center" wrapText="1"/>
    </xf>
    <xf numFmtId="164" fontId="5" fillId="0" borderId="10" xfId="1" applyNumberFormat="1" applyFont="1" applyFill="1" applyBorder="1" applyAlignment="1">
      <alignment horizontal="left"/>
    </xf>
    <xf numFmtId="169" fontId="5" fillId="0" borderId="10" xfId="1" applyNumberFormat="1" applyFont="1" applyFill="1" applyBorder="1"/>
    <xf numFmtId="164" fontId="5" fillId="0" borderId="15" xfId="1" applyNumberFormat="1" applyFont="1" applyFill="1" applyBorder="1"/>
    <xf numFmtId="15" fontId="5" fillId="0" borderId="10" xfId="1" applyNumberFormat="1" applyFont="1" applyFill="1" applyBorder="1" applyAlignment="1">
      <alignment horizontal="left" vertical="top"/>
    </xf>
    <xf numFmtId="164" fontId="5" fillId="0" borderId="10" xfId="1" applyNumberFormat="1" applyFont="1" applyFill="1" applyBorder="1" applyAlignment="1">
      <alignment horizontal="right" vertical="center" wrapText="1"/>
    </xf>
    <xf numFmtId="164" fontId="5" fillId="0" borderId="10" xfId="1" applyNumberFormat="1" applyFont="1" applyFill="1" applyBorder="1" applyAlignment="1">
      <alignment wrapText="1"/>
    </xf>
    <xf numFmtId="15" fontId="5" fillId="0" borderId="10" xfId="1" applyNumberFormat="1" applyFont="1" applyFill="1" applyBorder="1" applyAlignment="1">
      <alignment horizontal="right" vertical="center" wrapText="1"/>
    </xf>
    <xf numFmtId="168" fontId="5" fillId="0" borderId="10" xfId="1" applyNumberFormat="1" applyFont="1" applyBorder="1" applyAlignment="1">
      <alignment horizontal="left" vertical="top"/>
    </xf>
    <xf numFmtId="169" fontId="5" fillId="0" borderId="10" xfId="1" applyNumberFormat="1" applyFont="1" applyBorder="1"/>
    <xf numFmtId="164" fontId="5" fillId="0" borderId="15" xfId="1" applyNumberFormat="1" applyFont="1" applyBorder="1"/>
    <xf numFmtId="164" fontId="5" fillId="0" borderId="10" xfId="1" applyNumberFormat="1" applyFont="1" applyBorder="1" applyAlignment="1">
      <alignment horizontal="right" vertical="center" wrapText="1"/>
    </xf>
    <xf numFmtId="164" fontId="5" fillId="0" borderId="10" xfId="1" applyNumberFormat="1" applyFont="1" applyBorder="1" applyAlignment="1">
      <alignment wrapText="1"/>
    </xf>
    <xf numFmtId="15" fontId="5" fillId="0" borderId="10" xfId="1" applyNumberFormat="1" applyFont="1" applyBorder="1" applyAlignment="1">
      <alignment horizontal="right" vertical="center" wrapText="1"/>
    </xf>
    <xf numFmtId="164" fontId="13" fillId="0" borderId="0" xfId="1" applyNumberFormat="1" applyFont="1" applyFill="1"/>
    <xf numFmtId="0" fontId="3" fillId="0" borderId="0" xfId="0" applyFont="1" applyAlignment="1">
      <alignment vertical="top"/>
    </xf>
    <xf numFmtId="0" fontId="0" fillId="0" borderId="0" xfId="0" applyAlignment="1">
      <alignment horizontal="center"/>
    </xf>
    <xf numFmtId="43" fontId="0" fillId="0" borderId="0" xfId="1" applyFont="1" applyFill="1"/>
    <xf numFmtId="0" fontId="3" fillId="0" borderId="16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16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17" fontId="3" fillId="0" borderId="18" xfId="0" applyNumberFormat="1" applyFont="1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1" fontId="10" fillId="0" borderId="2" xfId="1" applyNumberFormat="1" applyFont="1" applyBorder="1" applyAlignment="1">
      <alignment horizontal="center" vertical="top"/>
    </xf>
    <xf numFmtId="0" fontId="0" fillId="0" borderId="2" xfId="0" applyBorder="1" applyAlignment="1">
      <alignment vertical="top"/>
    </xf>
    <xf numFmtId="170" fontId="0" fillId="0" borderId="2" xfId="1" applyNumberFormat="1" applyFont="1" applyBorder="1" applyAlignment="1">
      <alignment horizontal="center" vertical="top"/>
    </xf>
    <xf numFmtId="4" fontId="10" fillId="0" borderId="2" xfId="0" applyNumberFormat="1" applyFont="1" applyBorder="1" applyAlignment="1">
      <alignment vertical="top"/>
    </xf>
    <xf numFmtId="4" fontId="0" fillId="0" borderId="2" xfId="0" applyNumberFormat="1" applyBorder="1"/>
    <xf numFmtId="4" fontId="0" fillId="0" borderId="2" xfId="1" applyNumberFormat="1" applyFont="1" applyBorder="1" applyAlignment="1">
      <alignment vertical="top"/>
    </xf>
    <xf numFmtId="14" fontId="14" fillId="0" borderId="0" xfId="0" applyNumberFormat="1" applyFont="1" applyAlignment="1">
      <alignment horizontal="left" vertical="center" wrapText="1"/>
    </xf>
    <xf numFmtId="1" fontId="10" fillId="0" borderId="0" xfId="1" applyNumberFormat="1" applyFont="1" applyBorder="1" applyAlignment="1">
      <alignment horizontal="center" vertical="top"/>
    </xf>
    <xf numFmtId="170" fontId="0" fillId="0" borderId="0" xfId="1" applyNumberFormat="1" applyFont="1" applyBorder="1" applyAlignment="1">
      <alignment horizontal="center" vertical="top"/>
    </xf>
    <xf numFmtId="4" fontId="10" fillId="0" borderId="0" xfId="0" applyNumberFormat="1" applyFont="1" applyAlignment="1">
      <alignment vertical="top"/>
    </xf>
    <xf numFmtId="4" fontId="0" fillId="0" borderId="0" xfId="0" applyNumberFormat="1"/>
    <xf numFmtId="4" fontId="0" fillId="0" borderId="0" xfId="1" applyNumberFormat="1" applyFont="1" applyAlignment="1">
      <alignment vertical="top"/>
    </xf>
    <xf numFmtId="14" fontId="10" fillId="0" borderId="7" xfId="0" applyNumberFormat="1" applyFont="1" applyBorder="1" applyAlignment="1">
      <alignment horizontal="center" vertical="top"/>
    </xf>
    <xf numFmtId="0" fontId="0" fillId="0" borderId="7" xfId="0" applyBorder="1" applyAlignment="1">
      <alignment vertical="top"/>
    </xf>
    <xf numFmtId="170" fontId="0" fillId="0" borderId="7" xfId="1" applyNumberFormat="1" applyFont="1" applyBorder="1" applyAlignment="1">
      <alignment horizontal="center" vertical="top"/>
    </xf>
    <xf numFmtId="4" fontId="15" fillId="0" borderId="7" xfId="0" applyNumberFormat="1" applyFont="1" applyBorder="1" applyAlignment="1">
      <alignment vertical="top"/>
    </xf>
    <xf numFmtId="14" fontId="10" fillId="0" borderId="0" xfId="0" applyNumberFormat="1" applyFont="1" applyAlignment="1">
      <alignment horizontal="center" vertical="top"/>
    </xf>
    <xf numFmtId="4" fontId="15" fillId="0" borderId="0" xfId="0" applyNumberFormat="1" applyFont="1" applyAlignment="1">
      <alignment vertical="top"/>
    </xf>
    <xf numFmtId="14" fontId="14" fillId="0" borderId="0" xfId="0" applyNumberFormat="1" applyFont="1" applyAlignment="1">
      <alignment vertical="top"/>
    </xf>
    <xf numFmtId="170" fontId="0" fillId="0" borderId="0" xfId="1" applyNumberFormat="1" applyFont="1" applyAlignment="1">
      <alignment horizontal="center" vertical="top"/>
    </xf>
    <xf numFmtId="4" fontId="2" fillId="0" borderId="0" xfId="0" applyNumberFormat="1" applyFont="1" applyAlignment="1">
      <alignment vertical="top"/>
    </xf>
    <xf numFmtId="4" fontId="16" fillId="0" borderId="0" xfId="0" applyNumberFormat="1" applyFont="1" applyAlignment="1">
      <alignment vertical="top"/>
    </xf>
    <xf numFmtId="170" fontId="0" fillId="0" borderId="0" xfId="1" applyNumberFormat="1" applyFont="1" applyAlignment="1">
      <alignment vertical="top"/>
    </xf>
    <xf numFmtId="14" fontId="10" fillId="0" borderId="2" xfId="0" applyNumberFormat="1" applyFont="1" applyBorder="1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7" xfId="0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1" fontId="10" fillId="0" borderId="7" xfId="1" applyNumberFormat="1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1" fontId="10" fillId="0" borderId="0" xfId="1" applyNumberFormat="1" applyFont="1" applyAlignment="1">
      <alignment horizontal="center" vertical="top"/>
    </xf>
    <xf numFmtId="4" fontId="0" fillId="0" borderId="2" xfId="1" applyNumberFormat="1" applyFont="1" applyBorder="1"/>
    <xf numFmtId="4" fontId="15" fillId="0" borderId="7" xfId="1" applyNumberFormat="1" applyFont="1" applyBorder="1"/>
    <xf numFmtId="0" fontId="5" fillId="0" borderId="0" xfId="1" applyNumberFormat="1" applyFont="1" applyFill="1"/>
    <xf numFmtId="0" fontId="19" fillId="0" borderId="0" xfId="0" applyFont="1"/>
    <xf numFmtId="0" fontId="7" fillId="0" borderId="2" xfId="0" applyFont="1" applyBorder="1" applyAlignment="1">
      <alignment horizontal="left"/>
    </xf>
    <xf numFmtId="14" fontId="14" fillId="0" borderId="2" xfId="0" applyNumberFormat="1" applyFont="1" applyBorder="1" applyAlignment="1">
      <alignment horizontal="left" vertical="center" wrapText="1"/>
    </xf>
    <xf numFmtId="14" fontId="14" fillId="0" borderId="7" xfId="0" applyNumberFormat="1" applyFont="1" applyBorder="1" applyAlignment="1">
      <alignment horizontal="left" vertical="center" wrapText="1"/>
    </xf>
    <xf numFmtId="14" fontId="14" fillId="0" borderId="0" xfId="0" applyNumberFormat="1" applyFont="1" applyAlignment="1">
      <alignment horizontal="left" vertical="center" wrapText="1"/>
    </xf>
    <xf numFmtId="164" fontId="12" fillId="3" borderId="10" xfId="1" applyNumberFormat="1" applyFont="1" applyFill="1" applyBorder="1" applyAlignment="1">
      <alignment horizontal="center" vertical="center" wrapText="1"/>
    </xf>
    <xf numFmtId="14" fontId="14" fillId="0" borderId="2" xfId="0" applyNumberFormat="1" applyFont="1" applyBorder="1" applyAlignment="1">
      <alignment horizontal="left" vertical="center"/>
    </xf>
    <xf numFmtId="14" fontId="14" fillId="0" borderId="7" xfId="0" applyNumberFormat="1" applyFont="1" applyBorder="1" applyAlignment="1">
      <alignment horizontal="left" vertical="center"/>
    </xf>
    <xf numFmtId="164" fontId="12" fillId="3" borderId="11" xfId="1" applyNumberFormat="1" applyFont="1" applyFill="1" applyBorder="1" applyAlignment="1">
      <alignment horizontal="center" vertical="center" wrapText="1"/>
    </xf>
    <xf numFmtId="164" fontId="12" fillId="3" borderId="12" xfId="1" applyNumberFormat="1" applyFont="1" applyFill="1" applyBorder="1" applyAlignment="1">
      <alignment horizontal="center" vertical="center" wrapText="1"/>
    </xf>
    <xf numFmtId="0" fontId="12" fillId="3" borderId="13" xfId="4" applyFill="1" applyBorder="1" applyAlignment="1">
      <alignment horizontal="center" vertical="center" wrapText="1"/>
    </xf>
    <xf numFmtId="0" fontId="12" fillId="3" borderId="14" xfId="4" applyFill="1" applyBorder="1" applyAlignment="1">
      <alignment horizontal="center" vertical="center" wrapText="1"/>
    </xf>
    <xf numFmtId="164" fontId="12" fillId="3" borderId="2" xfId="1" applyNumberFormat="1" applyFont="1" applyFill="1" applyBorder="1" applyAlignment="1">
      <alignment horizontal="center" vertical="center" wrapText="1"/>
    </xf>
    <xf numFmtId="164" fontId="12" fillId="3" borderId="3" xfId="1" applyNumberFormat="1" applyFont="1" applyFill="1" applyBorder="1" applyAlignment="1">
      <alignment horizontal="center" vertical="center" wrapText="1"/>
    </xf>
    <xf numFmtId="164" fontId="12" fillId="3" borderId="7" xfId="1" applyNumberFormat="1" applyFont="1" applyFill="1" applyBorder="1" applyAlignment="1">
      <alignment horizontal="center" vertical="center" wrapText="1"/>
    </xf>
    <xf numFmtId="164" fontId="12" fillId="3" borderId="8" xfId="1" applyNumberFormat="1" applyFont="1" applyFill="1" applyBorder="1" applyAlignment="1">
      <alignment horizontal="center" vertical="center" wrapText="1"/>
    </xf>
    <xf numFmtId="164" fontId="12" fillId="3" borderId="1" xfId="1" applyNumberFormat="1" applyFont="1" applyFill="1" applyBorder="1" applyAlignment="1">
      <alignment horizontal="center" vertical="center" wrapText="1"/>
    </xf>
    <xf numFmtId="164" fontId="12" fillId="3" borderId="6" xfId="1" applyNumberFormat="1" applyFont="1" applyFill="1" applyBorder="1" applyAlignment="1">
      <alignment horizontal="center" vertical="center" wrapText="1"/>
    </xf>
    <xf numFmtId="0" fontId="12" fillId="3" borderId="10" xfId="4" applyFill="1" applyAlignment="1">
      <alignment horizontal="center" vertical="center" wrapText="1"/>
    </xf>
    <xf numFmtId="0" fontId="12" fillId="3" borderId="11" xfId="4" applyFill="1" applyBorder="1" applyAlignment="1">
      <alignment horizontal="center" vertical="center" wrapText="1"/>
    </xf>
    <xf numFmtId="0" fontId="12" fillId="3" borderId="12" xfId="4" applyFill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_SHEET" xfId="3" xr:uid="{7B718770-0985-44A1-8E41-4B79B06D7D4A}"/>
    <cellStyle name="Percent" xfId="2" builtinId="5"/>
    <cellStyle name="Style 1" xfId="4" xr:uid="{4F0E57EA-A6C0-4C96-A78A-4E279A2D26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093E-8D20-4564-83C7-60DA18BF6DF2}">
  <dimension ref="A1:A21"/>
  <sheetViews>
    <sheetView tabSelected="1" topLeftCell="A3" workbookViewId="0">
      <selection activeCell="A23" sqref="A23:XFD26"/>
    </sheetView>
  </sheetViews>
  <sheetFormatPr defaultRowHeight="14.25" x14ac:dyDescent="0.45"/>
  <cols>
    <col min="1" max="1" width="168.73046875" bestFit="1" customWidth="1"/>
  </cols>
  <sheetData>
    <row r="1" spans="1:1" ht="19.5" x14ac:dyDescent="0.6">
      <c r="A1" s="133" t="s">
        <v>93</v>
      </c>
    </row>
    <row r="3" spans="1:1" x14ac:dyDescent="0.45">
      <c r="A3" s="22" t="s">
        <v>94</v>
      </c>
    </row>
    <row r="4" spans="1:1" x14ac:dyDescent="0.45">
      <c r="A4" t="s">
        <v>95</v>
      </c>
    </row>
    <row r="6" spans="1:1" x14ac:dyDescent="0.45">
      <c r="A6" s="22" t="s">
        <v>96</v>
      </c>
    </row>
    <row r="7" spans="1:1" x14ac:dyDescent="0.45">
      <c r="A7" t="s">
        <v>97</v>
      </c>
    </row>
    <row r="9" spans="1:1" x14ac:dyDescent="0.45">
      <c r="A9" s="22" t="s">
        <v>98</v>
      </c>
    </row>
    <row r="10" spans="1:1" x14ac:dyDescent="0.45">
      <c r="A10" t="s">
        <v>99</v>
      </c>
    </row>
    <row r="11" spans="1:1" x14ac:dyDescent="0.45">
      <c r="A11" t="s">
        <v>100</v>
      </c>
    </row>
    <row r="12" spans="1:1" x14ac:dyDescent="0.45">
      <c r="A12" t="s">
        <v>101</v>
      </c>
    </row>
    <row r="13" spans="1:1" x14ac:dyDescent="0.45">
      <c r="A13" t="s">
        <v>102</v>
      </c>
    </row>
    <row r="14" spans="1:1" x14ac:dyDescent="0.45">
      <c r="A14" t="s">
        <v>103</v>
      </c>
    </row>
    <row r="15" spans="1:1" x14ac:dyDescent="0.45">
      <c r="A15" t="s">
        <v>104</v>
      </c>
    </row>
    <row r="17" spans="1:1" x14ac:dyDescent="0.45">
      <c r="A17" s="22" t="s">
        <v>105</v>
      </c>
    </row>
    <row r="18" spans="1:1" x14ac:dyDescent="0.45">
      <c r="A18" t="s">
        <v>106</v>
      </c>
    </row>
    <row r="20" spans="1:1" x14ac:dyDescent="0.45">
      <c r="A20" s="22" t="s">
        <v>107</v>
      </c>
    </row>
    <row r="21" spans="1:1" x14ac:dyDescent="0.45">
      <c r="A21" t="s">
        <v>108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7144-8525-4B0C-9D43-62403F86D536}">
  <sheetPr>
    <pageSetUpPr fitToPage="1"/>
  </sheetPr>
  <dimension ref="A1:CA142"/>
  <sheetViews>
    <sheetView showGridLines="0" zoomScaleNormal="100" zoomScaleSheetLayoutView="100" workbookViewId="0">
      <selection activeCell="B23" sqref="B23"/>
    </sheetView>
  </sheetViews>
  <sheetFormatPr defaultColWidth="9.06640625" defaultRowHeight="12.75" x14ac:dyDescent="0.35"/>
  <cols>
    <col min="1" max="1" width="1.9296875" style="6" customWidth="1"/>
    <col min="2" max="2" width="15.53125" style="6" customWidth="1"/>
    <col min="3" max="3" width="12.33203125" style="2" customWidth="1"/>
    <col min="4" max="4" width="13.33203125" style="2" customWidth="1"/>
    <col min="5" max="5" width="16" style="2" customWidth="1"/>
    <col min="6" max="6" width="14.06640625" style="3" customWidth="1"/>
    <col min="7" max="7" width="15.53125" style="3" bestFit="1" customWidth="1"/>
    <col min="8" max="9" width="13.06640625" style="3" customWidth="1"/>
    <col min="10" max="10" width="12.59765625" style="3" bestFit="1" customWidth="1"/>
    <col min="11" max="11" width="15.33203125" style="3" bestFit="1" customWidth="1"/>
    <col min="12" max="12" width="10.9296875" style="4" customWidth="1"/>
    <col min="13" max="13" width="10.796875" style="5" bestFit="1" customWidth="1"/>
    <col min="14" max="14" width="11.53125" style="3" bestFit="1" customWidth="1"/>
    <col min="15" max="15" width="11.06640625" style="3" bestFit="1" customWidth="1"/>
    <col min="16" max="16" width="12.53125" style="3" bestFit="1" customWidth="1"/>
    <col min="17" max="18" width="11.53125" style="3" bestFit="1" customWidth="1"/>
    <col min="19" max="19" width="14.796875" style="3" bestFit="1" customWidth="1"/>
    <col min="20" max="20" width="12.06640625" style="3" bestFit="1" customWidth="1"/>
    <col min="21" max="21" width="12.59765625" style="3" bestFit="1" customWidth="1"/>
    <col min="22" max="23" width="10.796875" style="3" bestFit="1" customWidth="1"/>
    <col min="24" max="24" width="11.9296875" style="3" bestFit="1" customWidth="1"/>
    <col min="25" max="25" width="8.53125" style="3" customWidth="1"/>
    <col min="26" max="26" width="10.796875" style="3" bestFit="1" customWidth="1"/>
    <col min="27" max="27" width="12.06640625" style="3" bestFit="1" customWidth="1"/>
    <col min="28" max="28" width="12.9296875" style="3" customWidth="1"/>
    <col min="29" max="29" width="14.796875" style="3" bestFit="1" customWidth="1"/>
    <col min="30" max="30" width="13.53125" style="3" customWidth="1"/>
    <col min="31" max="31" width="10.796875" style="3" bestFit="1" customWidth="1"/>
    <col min="32" max="32" width="14.796875" style="3" bestFit="1" customWidth="1"/>
    <col min="33" max="33" width="16.06640625" style="6" bestFit="1" customWidth="1"/>
    <col min="34" max="42" width="10.796875" style="6" bestFit="1" customWidth="1"/>
    <col min="43" max="44" width="10.9296875" style="6" bestFit="1" customWidth="1"/>
    <col min="45" max="77" width="10.796875" style="6" bestFit="1" customWidth="1"/>
    <col min="78" max="79" width="10.59765625" style="6" bestFit="1" customWidth="1"/>
    <col min="80" max="16384" width="9.06640625" style="6"/>
  </cols>
  <sheetData>
    <row r="1" spans="2:34" ht="28.5" x14ac:dyDescent="0.85">
      <c r="B1" s="1" t="s">
        <v>0</v>
      </c>
    </row>
    <row r="2" spans="2:34" ht="14.45" customHeight="1" x14ac:dyDescent="0.85">
      <c r="B2" s="1"/>
    </row>
    <row r="3" spans="2:34" ht="13.15" x14ac:dyDescent="0.4">
      <c r="B3" s="7" t="s">
        <v>1</v>
      </c>
      <c r="C3" s="8"/>
      <c r="D3" s="9" t="s">
        <v>2</v>
      </c>
      <c r="E3" s="134" t="s">
        <v>126</v>
      </c>
      <c r="F3" s="8"/>
      <c r="G3" s="8"/>
      <c r="H3" s="10"/>
      <c r="I3" s="11"/>
      <c r="J3" s="11"/>
      <c r="K3" s="11"/>
      <c r="L3" s="11"/>
      <c r="M3" s="11"/>
      <c r="N3" s="12"/>
      <c r="O3" s="13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G3" s="3"/>
      <c r="AH3" s="3"/>
    </row>
    <row r="4" spans="2:34" ht="13.15" x14ac:dyDescent="0.4">
      <c r="B4" s="14" t="s">
        <v>3</v>
      </c>
      <c r="C4" s="15"/>
      <c r="D4" s="16" t="s">
        <v>2</v>
      </c>
      <c r="E4" s="17" t="s">
        <v>127</v>
      </c>
      <c r="F4" s="15"/>
      <c r="G4" s="15"/>
      <c r="H4" s="18"/>
      <c r="I4" s="11"/>
      <c r="J4" s="11"/>
      <c r="K4" s="11"/>
      <c r="L4" s="11"/>
      <c r="M4" s="11"/>
      <c r="N4" s="12"/>
      <c r="O4" s="13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G4" s="3"/>
      <c r="AH4" s="3"/>
    </row>
    <row r="5" spans="2:34" ht="13.15" x14ac:dyDescent="0.4">
      <c r="B5" s="14" t="s">
        <v>4</v>
      </c>
      <c r="C5" s="15"/>
      <c r="D5" s="16" t="s">
        <v>2</v>
      </c>
      <c r="E5" s="19">
        <v>44958</v>
      </c>
      <c r="F5" s="15"/>
      <c r="G5" s="15"/>
      <c r="H5" s="18"/>
      <c r="I5" s="11"/>
      <c r="J5" s="11"/>
      <c r="K5" s="11"/>
      <c r="L5" s="11"/>
      <c r="M5" s="11"/>
      <c r="N5" s="12"/>
      <c r="O5" s="13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G5" s="3"/>
      <c r="AH5" s="3"/>
    </row>
    <row r="6" spans="2:34" ht="13.15" x14ac:dyDescent="0.4">
      <c r="B6" s="14" t="s">
        <v>5</v>
      </c>
      <c r="C6" s="15"/>
      <c r="D6" s="16" t="s">
        <v>2</v>
      </c>
      <c r="E6" s="19">
        <v>47146</v>
      </c>
      <c r="F6" s="15"/>
      <c r="G6" s="15"/>
      <c r="H6" s="18"/>
      <c r="I6" s="11"/>
      <c r="J6" s="11"/>
      <c r="K6" s="11"/>
      <c r="L6" s="11"/>
      <c r="M6" s="11"/>
      <c r="N6" s="12"/>
      <c r="O6" s="13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G6" s="3"/>
      <c r="AH6" s="3"/>
    </row>
    <row r="7" spans="2:34" ht="13.15" x14ac:dyDescent="0.4">
      <c r="B7" s="14" t="s">
        <v>6</v>
      </c>
      <c r="C7" s="15"/>
      <c r="D7" s="16" t="s">
        <v>2</v>
      </c>
      <c r="E7" s="20">
        <f>DATEDIF(E5,E6,"M")+1</f>
        <v>72</v>
      </c>
      <c r="F7" s="15"/>
      <c r="G7" s="15"/>
      <c r="H7" s="18"/>
      <c r="I7" s="11"/>
      <c r="J7" s="20"/>
      <c r="K7" s="21"/>
      <c r="L7" s="11"/>
      <c r="M7" s="11"/>
      <c r="N7" s="12"/>
      <c r="O7" s="13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G7" s="3"/>
      <c r="AH7" s="3"/>
    </row>
    <row r="8" spans="2:34" ht="14.25" x14ac:dyDescent="0.45">
      <c r="B8" s="14" t="s">
        <v>7</v>
      </c>
      <c r="C8" s="15"/>
      <c r="D8" s="16" t="s">
        <v>2</v>
      </c>
      <c r="E8" s="22" t="s">
        <v>8</v>
      </c>
      <c r="F8" s="15"/>
      <c r="G8" s="15"/>
      <c r="H8" s="18"/>
      <c r="I8" s="11"/>
      <c r="J8" s="11"/>
      <c r="K8" s="11"/>
      <c r="L8" s="11"/>
      <c r="M8" s="11"/>
      <c r="N8" s="12"/>
      <c r="O8" s="13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G8" s="3"/>
      <c r="AH8" s="3"/>
    </row>
    <row r="9" spans="2:34" ht="13.15" x14ac:dyDescent="0.4">
      <c r="B9" s="14" t="s">
        <v>9</v>
      </c>
      <c r="C9" s="15"/>
      <c r="D9" s="16" t="s">
        <v>2</v>
      </c>
      <c r="E9" s="23">
        <f>E11</f>
        <v>341890</v>
      </c>
      <c r="F9" s="15" t="s">
        <v>10</v>
      </c>
      <c r="G9" s="15"/>
      <c r="H9" s="18"/>
      <c r="I9" s="11"/>
      <c r="J9" s="11"/>
      <c r="K9" s="11"/>
      <c r="L9" s="11"/>
      <c r="M9" s="11"/>
      <c r="N9" s="12"/>
      <c r="O9" s="13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G9" s="3"/>
      <c r="AH9" s="3"/>
    </row>
    <row r="10" spans="2:34" ht="13.15" x14ac:dyDescent="0.4">
      <c r="B10" s="14" t="s">
        <v>11</v>
      </c>
      <c r="C10" s="15"/>
      <c r="D10" s="16" t="s">
        <v>2</v>
      </c>
      <c r="E10" s="23">
        <f>E11*2</f>
        <v>683780</v>
      </c>
      <c r="F10" s="15" t="s">
        <v>12</v>
      </c>
      <c r="G10" s="15"/>
      <c r="H10" s="18"/>
      <c r="I10" s="11"/>
      <c r="J10" s="11"/>
      <c r="K10" s="11"/>
      <c r="L10" s="11"/>
      <c r="M10" s="11"/>
      <c r="N10" s="12"/>
      <c r="O10" s="13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G10" s="3"/>
      <c r="AH10" s="3"/>
    </row>
    <row r="11" spans="2:34" ht="13.15" x14ac:dyDescent="0.4">
      <c r="B11" s="14" t="s">
        <v>128</v>
      </c>
      <c r="C11" s="15"/>
      <c r="D11" s="16" t="s">
        <v>2</v>
      </c>
      <c r="E11" s="23">
        <v>341890</v>
      </c>
      <c r="F11" s="15" t="s">
        <v>13</v>
      </c>
      <c r="G11" s="15"/>
      <c r="H11" s="18"/>
      <c r="I11" s="11"/>
      <c r="J11" s="11"/>
      <c r="K11" s="11"/>
      <c r="L11" s="11"/>
      <c r="M11" s="11"/>
      <c r="N11" s="12"/>
      <c r="O11" s="13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G11" s="3"/>
      <c r="AH11" s="3"/>
    </row>
    <row r="12" spans="2:34" ht="13.15" x14ac:dyDescent="0.4">
      <c r="B12" s="24" t="s">
        <v>14</v>
      </c>
      <c r="C12" s="25"/>
      <c r="D12" s="26" t="s">
        <v>2</v>
      </c>
      <c r="E12" s="27">
        <v>8.5000000000000006E-2</v>
      </c>
      <c r="F12" s="28">
        <f>E12/12</f>
        <v>7.0833333333333338E-3</v>
      </c>
      <c r="G12" s="25"/>
      <c r="H12" s="29"/>
      <c r="I12" s="11"/>
      <c r="J12" s="11"/>
      <c r="K12" s="11"/>
      <c r="L12" s="11"/>
      <c r="M12" s="11"/>
      <c r="N12" s="12"/>
      <c r="O12" s="13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G12" s="3"/>
      <c r="AH12" s="3"/>
    </row>
    <row r="13" spans="2:34" x14ac:dyDescent="0.35">
      <c r="C13" s="30"/>
      <c r="D13" s="30"/>
      <c r="E13" s="30"/>
      <c r="F13" s="30"/>
      <c r="G13" s="30"/>
      <c r="H13" s="11"/>
      <c r="I13" s="11"/>
      <c r="J13" s="11"/>
      <c r="K13" s="11"/>
      <c r="L13" s="11"/>
      <c r="M13" s="11"/>
      <c r="N13" s="12"/>
      <c r="O13" s="13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G13" s="3"/>
      <c r="AH13" s="3"/>
    </row>
    <row r="14" spans="2:34" ht="21" x14ac:dyDescent="0.65">
      <c r="B14" s="31" t="s">
        <v>15</v>
      </c>
      <c r="C14" s="30"/>
      <c r="D14" s="30"/>
      <c r="E14" s="30"/>
      <c r="F14" s="30"/>
      <c r="G14" s="30"/>
      <c r="H14" s="11"/>
      <c r="I14" s="11"/>
      <c r="J14" s="11"/>
      <c r="K14" s="11"/>
      <c r="L14" s="11"/>
      <c r="M14" s="11"/>
      <c r="N14" s="12"/>
      <c r="O14" s="13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G14" s="3"/>
      <c r="AH14" s="3"/>
    </row>
    <row r="15" spans="2:34" x14ac:dyDescent="0.35">
      <c r="C15" s="30"/>
      <c r="D15" s="30"/>
      <c r="E15" s="30"/>
      <c r="F15" s="30"/>
      <c r="G15" s="30"/>
      <c r="H15" s="11"/>
      <c r="I15" s="11"/>
      <c r="J15" s="11"/>
      <c r="K15" s="11"/>
      <c r="L15" s="11"/>
      <c r="M15" s="11"/>
      <c r="N15" s="12"/>
      <c r="O15" s="13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G15" s="3"/>
      <c r="AH15" s="3"/>
    </row>
    <row r="16" spans="2:34" ht="14.25" x14ac:dyDescent="0.45">
      <c r="B16" t="s">
        <v>16</v>
      </c>
      <c r="C16"/>
      <c r="D16" s="32">
        <f>J114</f>
        <v>19374133.033510689</v>
      </c>
      <c r="E16" s="30"/>
      <c r="F16" s="6"/>
      <c r="G16" s="30"/>
      <c r="H16"/>
      <c r="J16" s="132"/>
      <c r="L16" s="11"/>
      <c r="M16" s="11"/>
      <c r="N16" s="12"/>
      <c r="O16" s="13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G16" s="3"/>
      <c r="AH16" s="3"/>
    </row>
    <row r="17" spans="2:49" ht="14.25" x14ac:dyDescent="0.45">
      <c r="B17" s="33" t="s">
        <v>17</v>
      </c>
      <c r="C17" s="33"/>
      <c r="D17" s="34">
        <f>E10</f>
        <v>683780</v>
      </c>
      <c r="E17" s="30"/>
      <c r="F17" s="6"/>
      <c r="G17" s="30"/>
      <c r="H17"/>
      <c r="L17" s="11"/>
      <c r="M17" s="11"/>
      <c r="N17" s="12"/>
      <c r="O17" s="13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G17" s="3"/>
      <c r="AH17" s="3"/>
    </row>
    <row r="18" spans="2:49" ht="14.65" thickBot="1" x14ac:dyDescent="0.5">
      <c r="B18" s="35" t="s">
        <v>18</v>
      </c>
      <c r="C18" s="35"/>
      <c r="D18" s="36">
        <f>D17+D16</f>
        <v>20057913.033510689</v>
      </c>
      <c r="E18" s="30"/>
      <c r="F18" s="30"/>
      <c r="G18" s="30"/>
      <c r="H18" s="11"/>
      <c r="I18" s="11"/>
      <c r="J18" s="11"/>
      <c r="K18" s="11"/>
      <c r="L18" s="11"/>
      <c r="M18" s="11"/>
      <c r="N18" s="12"/>
      <c r="O18" s="13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G18" s="3"/>
      <c r="AH18" s="3"/>
    </row>
    <row r="19" spans="2:49" ht="13.15" thickTop="1" x14ac:dyDescent="0.35">
      <c r="C19" s="30"/>
      <c r="D19" s="30"/>
      <c r="E19" s="30"/>
      <c r="F19" s="30"/>
      <c r="G19" s="30"/>
      <c r="H19" s="11"/>
      <c r="I19" s="11"/>
      <c r="J19" s="11"/>
      <c r="K19" s="11"/>
      <c r="L19" s="11"/>
      <c r="M19" s="11"/>
      <c r="N19" s="12"/>
      <c r="O19" s="13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G19" s="3"/>
      <c r="AH19" s="3"/>
    </row>
    <row r="20" spans="2:49" ht="14.25" x14ac:dyDescent="0.45">
      <c r="B20" s="37" t="s">
        <v>132</v>
      </c>
      <c r="C20"/>
      <c r="D20"/>
      <c r="E20"/>
      <c r="F20"/>
      <c r="G20" s="30"/>
      <c r="H20" s="11"/>
      <c r="I20" s="11"/>
      <c r="J20" s="11"/>
      <c r="K20" s="11"/>
      <c r="L20" s="11"/>
      <c r="M20" s="11"/>
      <c r="N20" s="12"/>
      <c r="O20" s="13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G20" s="3"/>
      <c r="AH20" s="3"/>
    </row>
    <row r="21" spans="2:49" ht="14.25" x14ac:dyDescent="0.45">
      <c r="B21">
        <v>200142</v>
      </c>
      <c r="C21" t="s">
        <v>19</v>
      </c>
      <c r="D21"/>
      <c r="E21" s="38">
        <f>D18</f>
        <v>20057913.033510689</v>
      </c>
      <c r="F21"/>
      <c r="G21" s="30"/>
      <c r="H21" s="11"/>
      <c r="I21" s="11"/>
      <c r="J21" s="11"/>
      <c r="K21" s="11"/>
      <c r="L21" s="11"/>
      <c r="M21" s="11"/>
      <c r="N21" s="12"/>
      <c r="O21" s="13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G21" s="3"/>
      <c r="AH21" s="3"/>
    </row>
    <row r="22" spans="2:49" ht="14.25" x14ac:dyDescent="0.45">
      <c r="B22">
        <v>160834</v>
      </c>
      <c r="C22" t="s">
        <v>20</v>
      </c>
      <c r="D22"/>
      <c r="E22" s="32">
        <f>-D16</f>
        <v>-19374133.033510689</v>
      </c>
      <c r="F22"/>
      <c r="G22" s="30"/>
      <c r="H22" s="11"/>
      <c r="I22" s="11"/>
      <c r="J22" s="11"/>
      <c r="K22" s="11"/>
      <c r="L22" s="11"/>
      <c r="M22" s="11"/>
      <c r="N22" s="12"/>
      <c r="O22" s="13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G22" s="3"/>
      <c r="AH22" s="3"/>
    </row>
    <row r="23" spans="2:49" ht="14.25" x14ac:dyDescent="0.45">
      <c r="B23">
        <v>5710078</v>
      </c>
      <c r="C23" t="s">
        <v>21</v>
      </c>
      <c r="D23"/>
      <c r="E23" s="32">
        <f>-D17</f>
        <v>-683780</v>
      </c>
      <c r="F23"/>
      <c r="G23" s="30"/>
      <c r="H23" s="11"/>
      <c r="I23" s="11"/>
      <c r="J23" s="11"/>
      <c r="K23" s="11"/>
      <c r="L23" s="11"/>
      <c r="M23" s="11"/>
      <c r="N23" s="12"/>
      <c r="O23" s="13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G23" s="3"/>
      <c r="AH23" s="3"/>
    </row>
    <row r="24" spans="2:49" ht="14.25" x14ac:dyDescent="0.45">
      <c r="B24"/>
      <c r="C24"/>
      <c r="D24"/>
      <c r="E24" s="39">
        <f>SUM(E21:E23)</f>
        <v>0</v>
      </c>
      <c r="F24"/>
      <c r="G24" s="30"/>
      <c r="H24" s="11"/>
      <c r="I24" s="11"/>
      <c r="J24" s="11"/>
      <c r="K24" s="11"/>
      <c r="L24" s="11"/>
      <c r="M24" s="11"/>
      <c r="N24" s="12"/>
      <c r="O24" s="13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G24" s="3"/>
      <c r="AH24" s="3"/>
    </row>
    <row r="25" spans="2:49" x14ac:dyDescent="0.35">
      <c r="C25" s="30"/>
      <c r="D25" s="30"/>
      <c r="E25" s="30"/>
      <c r="F25" s="30"/>
      <c r="G25" s="30"/>
      <c r="H25" s="11"/>
      <c r="I25" s="11"/>
      <c r="J25" s="11"/>
      <c r="K25" s="11"/>
      <c r="L25" s="11"/>
      <c r="M25" s="11"/>
      <c r="N25" s="12"/>
      <c r="O25" s="13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G25" s="3"/>
      <c r="AH25" s="3"/>
    </row>
    <row r="26" spans="2:49" x14ac:dyDescent="0.35">
      <c r="C26" s="30"/>
      <c r="D26" s="30"/>
      <c r="E26" s="30"/>
      <c r="F26" s="30"/>
      <c r="G26" s="30"/>
      <c r="H26" s="11"/>
      <c r="I26" s="11"/>
      <c r="J26" s="11"/>
      <c r="K26" s="11"/>
      <c r="L26" s="11"/>
      <c r="M26" s="11"/>
      <c r="N26" s="12"/>
      <c r="O26" s="13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G26" s="3"/>
      <c r="AH26" s="3"/>
    </row>
    <row r="27" spans="2:49" x14ac:dyDescent="0.35">
      <c r="B27" s="40" t="s">
        <v>22</v>
      </c>
      <c r="C27" s="11"/>
      <c r="D27" s="11"/>
      <c r="E27" s="11"/>
      <c r="F27" s="11"/>
      <c r="G27" s="11"/>
      <c r="H27" s="30"/>
      <c r="I27" s="30"/>
      <c r="J27" s="30"/>
      <c r="K27" s="30"/>
      <c r="L27" s="41"/>
      <c r="M27" s="41"/>
      <c r="N27" s="41"/>
      <c r="O27" s="42"/>
      <c r="P27" s="43"/>
      <c r="Q27" s="43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G27" s="3"/>
      <c r="AH27" s="3"/>
      <c r="AU27" s="44"/>
      <c r="AV27" s="45"/>
      <c r="AW27" s="45"/>
    </row>
    <row r="28" spans="2:49" ht="13.15" x14ac:dyDescent="0.35">
      <c r="B28" s="152" t="s">
        <v>23</v>
      </c>
      <c r="C28" s="138" t="s">
        <v>24</v>
      </c>
      <c r="D28" s="138"/>
      <c r="E28" s="138" t="s">
        <v>25</v>
      </c>
      <c r="F28" s="138"/>
      <c r="G28" s="138" t="s">
        <v>26</v>
      </c>
      <c r="H28" s="138"/>
      <c r="I28" s="138" t="s">
        <v>27</v>
      </c>
      <c r="J28" s="138"/>
      <c r="K28" s="138" t="s">
        <v>28</v>
      </c>
      <c r="L28" s="141" t="s">
        <v>29</v>
      </c>
      <c r="M28" s="11"/>
      <c r="N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G28" s="3"/>
    </row>
    <row r="29" spans="2:49" ht="13.15" x14ac:dyDescent="0.35">
      <c r="B29" s="153"/>
      <c r="C29" s="46" t="s">
        <v>30</v>
      </c>
      <c r="D29" s="46" t="s">
        <v>31</v>
      </c>
      <c r="E29" s="46" t="s">
        <v>30</v>
      </c>
      <c r="F29" s="46" t="s">
        <v>31</v>
      </c>
      <c r="G29" s="46" t="s">
        <v>30</v>
      </c>
      <c r="H29" s="46" t="s">
        <v>31</v>
      </c>
      <c r="I29" s="46" t="s">
        <v>30</v>
      </c>
      <c r="J29" s="46" t="s">
        <v>31</v>
      </c>
      <c r="K29" s="138"/>
      <c r="L29" s="142"/>
      <c r="M29" s="11"/>
      <c r="N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G29" s="3"/>
    </row>
    <row r="30" spans="2:49" x14ac:dyDescent="0.35">
      <c r="B30" s="47" t="s">
        <v>32</v>
      </c>
      <c r="C30" s="48"/>
      <c r="D30" s="48"/>
      <c r="E30" s="48">
        <f>SUM(Q42:Q43)</f>
        <v>548968.27851263259</v>
      </c>
      <c r="F30" s="48"/>
      <c r="G30" s="48"/>
      <c r="H30" s="48"/>
      <c r="I30" s="48"/>
      <c r="J30" s="48"/>
      <c r="K30" s="49">
        <f t="shared" ref="K30:K35" si="0">ROUND(C30-D30+E30-F30+G30-H30+I30-J30,0)</f>
        <v>548968</v>
      </c>
      <c r="L30" s="50" t="s">
        <v>33</v>
      </c>
      <c r="M30" s="11"/>
      <c r="N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G30" s="3"/>
    </row>
    <row r="31" spans="2:49" x14ac:dyDescent="0.35">
      <c r="B31" s="47" t="s">
        <v>34</v>
      </c>
      <c r="C31" s="48"/>
      <c r="D31" s="48"/>
      <c r="E31" s="48"/>
      <c r="F31" s="48"/>
      <c r="G31" s="48"/>
      <c r="H31" s="48"/>
      <c r="I31" s="48">
        <f>SUM(P42:P43)</f>
        <v>134811.72148736738</v>
      </c>
      <c r="J31" s="48"/>
      <c r="K31" s="49">
        <f t="shared" si="0"/>
        <v>134812</v>
      </c>
      <c r="L31" s="50" t="s">
        <v>129</v>
      </c>
      <c r="M31" s="11"/>
      <c r="N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G31" s="3"/>
    </row>
    <row r="32" spans="2:49" x14ac:dyDescent="0.35">
      <c r="B32" s="47" t="s">
        <v>35</v>
      </c>
      <c r="C32" s="48"/>
      <c r="D32" s="48"/>
      <c r="E32" s="48"/>
      <c r="F32" s="48"/>
      <c r="G32" s="48"/>
      <c r="H32" s="48"/>
      <c r="I32" s="49">
        <f>SUM(U42:U43)</f>
        <v>557164.25093085249</v>
      </c>
      <c r="J32" s="48"/>
      <c r="K32" s="49">
        <f t="shared" si="0"/>
        <v>557164</v>
      </c>
      <c r="L32" s="50" t="s">
        <v>36</v>
      </c>
      <c r="M32" s="11"/>
      <c r="N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G32" s="3"/>
    </row>
    <row r="33" spans="2:34" x14ac:dyDescent="0.35">
      <c r="B33" s="47" t="s">
        <v>37</v>
      </c>
      <c r="C33" s="48"/>
      <c r="D33" s="48">
        <f>I32</f>
        <v>557164.25093085249</v>
      </c>
      <c r="E33" s="48"/>
      <c r="F33" s="48"/>
      <c r="G33" s="48"/>
      <c r="H33" s="48"/>
      <c r="I33" s="48"/>
      <c r="J33" s="48"/>
      <c r="K33" s="49">
        <f t="shared" si="0"/>
        <v>-557164</v>
      </c>
      <c r="L33" s="50" t="s">
        <v>36</v>
      </c>
      <c r="M33" s="11"/>
      <c r="N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G33" s="3"/>
    </row>
    <row r="34" spans="2:34" x14ac:dyDescent="0.35">
      <c r="B34" s="51" t="s">
        <v>38</v>
      </c>
      <c r="C34" s="48"/>
      <c r="D34" s="48"/>
      <c r="E34" s="48"/>
      <c r="F34" s="48"/>
      <c r="G34" s="48"/>
      <c r="H34" s="48"/>
      <c r="I34" s="48"/>
      <c r="J34" s="48">
        <f>SUM(D42:D43)</f>
        <v>683780</v>
      </c>
      <c r="K34" s="49">
        <f t="shared" si="0"/>
        <v>-683780</v>
      </c>
      <c r="L34" s="50" t="s">
        <v>130</v>
      </c>
      <c r="M34" s="11"/>
      <c r="N34" s="1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G34" s="3"/>
    </row>
    <row r="35" spans="2:34" x14ac:dyDescent="0.35">
      <c r="B35" s="47" t="s">
        <v>39</v>
      </c>
      <c r="C35" s="48">
        <v>0</v>
      </c>
      <c r="D35" s="48"/>
      <c r="E35" s="48"/>
      <c r="F35" s="48"/>
      <c r="G35" s="48"/>
      <c r="H35" s="48"/>
      <c r="I35" s="48"/>
      <c r="J35" s="48"/>
      <c r="K35" s="49">
        <f t="shared" si="0"/>
        <v>0</v>
      </c>
      <c r="L35" s="50" t="s">
        <v>131</v>
      </c>
      <c r="M35" s="11"/>
      <c r="N35" s="1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G35" s="3"/>
    </row>
    <row r="36" spans="2:34" ht="13.15" x14ac:dyDescent="0.35">
      <c r="B36" s="52" t="s">
        <v>28</v>
      </c>
      <c r="C36" s="53">
        <f>SUM(C30:C35)</f>
        <v>0</v>
      </c>
      <c r="D36" s="53">
        <f>SUM(D30:D35)</f>
        <v>557164.25093085249</v>
      </c>
      <c r="E36" s="53">
        <f t="shared" ref="E36:J36" si="1">SUM(E30:E35)</f>
        <v>548968.27851263259</v>
      </c>
      <c r="F36" s="53">
        <f t="shared" si="1"/>
        <v>0</v>
      </c>
      <c r="G36" s="53">
        <f t="shared" si="1"/>
        <v>0</v>
      </c>
      <c r="H36" s="53">
        <f t="shared" si="1"/>
        <v>0</v>
      </c>
      <c r="I36" s="53">
        <f t="shared" si="1"/>
        <v>691975.9724182199</v>
      </c>
      <c r="J36" s="53">
        <f t="shared" si="1"/>
        <v>683780</v>
      </c>
      <c r="K36" s="53">
        <f>SUM(K30:K35)</f>
        <v>0</v>
      </c>
      <c r="L36" s="50"/>
      <c r="M36" s="11"/>
      <c r="N36" s="1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G36" s="3"/>
    </row>
    <row r="37" spans="2:34" x14ac:dyDescent="0.35">
      <c r="C37" s="30"/>
      <c r="D37" s="30"/>
      <c r="E37" s="11"/>
      <c r="F37" s="11"/>
      <c r="G37" s="11"/>
      <c r="H37" s="11"/>
      <c r="I37" s="11"/>
      <c r="J37" s="11"/>
      <c r="K37" s="12"/>
      <c r="L37" s="11"/>
      <c r="M37" s="11"/>
      <c r="N37" s="11"/>
      <c r="O37" s="13"/>
      <c r="P37" s="11"/>
      <c r="Q37" s="11"/>
      <c r="R37" s="11"/>
      <c r="S37" s="11"/>
      <c r="T37" s="11"/>
      <c r="U37" s="11"/>
      <c r="V37" s="54"/>
      <c r="W37" s="55"/>
      <c r="X37" s="11"/>
      <c r="Y37" s="11"/>
      <c r="Z37" s="55"/>
      <c r="AA37" s="11"/>
      <c r="AB37" s="11"/>
      <c r="AC37" s="11"/>
      <c r="AD37" s="11"/>
      <c r="AE37" s="11"/>
      <c r="AG37" s="3"/>
      <c r="AH37" s="3"/>
    </row>
    <row r="38" spans="2:34" ht="21" x14ac:dyDescent="0.65">
      <c r="B38" s="31" t="s">
        <v>40</v>
      </c>
      <c r="C38" s="30"/>
      <c r="D38" s="30"/>
      <c r="E38" s="30"/>
      <c r="F38" s="11"/>
      <c r="G38" s="11"/>
      <c r="H38" s="11"/>
      <c r="I38" s="11"/>
      <c r="J38" s="11"/>
      <c r="K38" s="11"/>
      <c r="L38" s="12"/>
      <c r="M38" s="11"/>
      <c r="N38" s="11"/>
      <c r="O38" s="13"/>
      <c r="P38" s="11"/>
      <c r="Q38" s="11"/>
      <c r="R38" s="11"/>
      <c r="S38" s="11"/>
      <c r="T38" s="11"/>
      <c r="U38" s="11"/>
      <c r="V38" s="11"/>
      <c r="W38" s="54"/>
      <c r="X38" s="55"/>
      <c r="Y38" s="11"/>
      <c r="Z38" s="11"/>
      <c r="AA38" s="55"/>
      <c r="AB38" s="55"/>
      <c r="AC38" s="11"/>
      <c r="AD38" s="11"/>
      <c r="AE38" s="11"/>
      <c r="AG38" s="3"/>
      <c r="AH38" s="3"/>
    </row>
    <row r="39" spans="2:34" ht="12.75" customHeight="1" x14ac:dyDescent="0.35">
      <c r="B39" s="143" t="s">
        <v>41</v>
      </c>
      <c r="C39" s="144"/>
      <c r="D39" s="144"/>
      <c r="E39" s="144"/>
      <c r="F39" s="144"/>
      <c r="G39" s="144"/>
      <c r="H39" s="144"/>
      <c r="I39" s="144"/>
      <c r="J39" s="144"/>
      <c r="K39" s="56"/>
      <c r="L39" s="145" t="s">
        <v>42</v>
      </c>
      <c r="M39" s="145"/>
      <c r="N39" s="145"/>
      <c r="O39" s="145"/>
      <c r="P39" s="145"/>
      <c r="Q39" s="145"/>
      <c r="R39" s="146"/>
      <c r="S39" s="11"/>
      <c r="T39" s="149" t="s">
        <v>43</v>
      </c>
      <c r="U39" s="145"/>
      <c r="V39" s="145"/>
      <c r="W39" s="146"/>
      <c r="X39" s="11"/>
      <c r="Y39" s="149" t="s">
        <v>44</v>
      </c>
      <c r="Z39" s="145"/>
      <c r="AA39" s="145"/>
      <c r="AB39" s="145"/>
      <c r="AC39" s="145"/>
      <c r="AD39" s="146"/>
      <c r="AE39" s="11"/>
      <c r="AG39" s="3"/>
      <c r="AH39" s="3"/>
    </row>
    <row r="40" spans="2:34" ht="12.75" customHeight="1" x14ac:dyDescent="0.35">
      <c r="B40" s="151" t="s">
        <v>45</v>
      </c>
      <c r="C40" s="138" t="s">
        <v>46</v>
      </c>
      <c r="D40" s="138" t="s">
        <v>38</v>
      </c>
      <c r="E40" s="138" t="s">
        <v>39</v>
      </c>
      <c r="F40" s="138" t="s">
        <v>47</v>
      </c>
      <c r="G40" s="138" t="s">
        <v>48</v>
      </c>
      <c r="H40" s="46" t="s">
        <v>49</v>
      </c>
      <c r="I40" s="138" t="s">
        <v>50</v>
      </c>
      <c r="J40" s="138" t="s">
        <v>51</v>
      </c>
      <c r="K40" s="57"/>
      <c r="L40" s="147"/>
      <c r="M40" s="147"/>
      <c r="N40" s="147"/>
      <c r="O40" s="147"/>
      <c r="P40" s="147"/>
      <c r="Q40" s="147"/>
      <c r="R40" s="148"/>
      <c r="S40" s="57"/>
      <c r="T40" s="150"/>
      <c r="U40" s="147"/>
      <c r="V40" s="147"/>
      <c r="W40" s="148"/>
      <c r="X40" s="11"/>
      <c r="Y40" s="150"/>
      <c r="Z40" s="147"/>
      <c r="AA40" s="147"/>
      <c r="AB40" s="147"/>
      <c r="AC40" s="147"/>
      <c r="AD40" s="148"/>
      <c r="AE40" s="11"/>
    </row>
    <row r="41" spans="2:34" ht="51.75" customHeight="1" x14ac:dyDescent="0.35">
      <c r="B41" s="151"/>
      <c r="C41" s="138"/>
      <c r="D41" s="138"/>
      <c r="E41" s="138"/>
      <c r="F41" s="138"/>
      <c r="G41" s="138"/>
      <c r="H41" s="58">
        <v>8.5000000000000006E-2</v>
      </c>
      <c r="I41" s="138"/>
      <c r="J41" s="138"/>
      <c r="K41" s="57"/>
      <c r="L41" s="46" t="s">
        <v>45</v>
      </c>
      <c r="M41" s="59" t="s">
        <v>46</v>
      </c>
      <c r="N41" s="46" t="s">
        <v>52</v>
      </c>
      <c r="O41" s="46" t="s">
        <v>48</v>
      </c>
      <c r="P41" s="46" t="s">
        <v>53</v>
      </c>
      <c r="Q41" s="46" t="s">
        <v>54</v>
      </c>
      <c r="R41" s="46" t="s">
        <v>55</v>
      </c>
      <c r="S41" s="57"/>
      <c r="T41" s="46" t="s">
        <v>45</v>
      </c>
      <c r="U41" s="46" t="s">
        <v>56</v>
      </c>
      <c r="V41" s="46" t="s">
        <v>57</v>
      </c>
      <c r="W41" s="46" t="s">
        <v>58</v>
      </c>
      <c r="X41" s="11"/>
      <c r="Y41" s="46" t="s">
        <v>45</v>
      </c>
      <c r="Z41" s="59" t="s">
        <v>46</v>
      </c>
      <c r="AA41" s="46" t="s">
        <v>59</v>
      </c>
      <c r="AB41" s="46" t="s">
        <v>60</v>
      </c>
      <c r="AC41" s="46" t="s">
        <v>61</v>
      </c>
      <c r="AD41" s="46" t="s">
        <v>62</v>
      </c>
      <c r="AE41" s="11"/>
    </row>
    <row r="42" spans="2:34" s="72" customFormat="1" x14ac:dyDescent="0.35">
      <c r="B42" s="60">
        <v>0</v>
      </c>
      <c r="C42" s="61">
        <v>44985</v>
      </c>
      <c r="D42" s="62">
        <f>E11</f>
        <v>341890</v>
      </c>
      <c r="E42" s="63">
        <v>0</v>
      </c>
      <c r="F42" s="63">
        <f>E10-E42</f>
        <v>683780</v>
      </c>
      <c r="G42" s="64">
        <f t="shared" ref="G42:G105" si="2">D42-E42</f>
        <v>341890</v>
      </c>
      <c r="H42" s="65">
        <f t="shared" ref="H42:H105" si="3">(1+($H$41/12))^B42</f>
        <v>1</v>
      </c>
      <c r="I42" s="65">
        <f>1/H42</f>
        <v>1</v>
      </c>
      <c r="J42" s="64">
        <f t="shared" ref="J42:J105" si="4">G42*I42</f>
        <v>341890</v>
      </c>
      <c r="K42" s="66"/>
      <c r="L42" s="64">
        <f t="shared" ref="L42:M73" si="5">B42</f>
        <v>0</v>
      </c>
      <c r="M42" s="67">
        <f t="shared" si="5"/>
        <v>44985</v>
      </c>
      <c r="N42" s="62">
        <f>$J$114</f>
        <v>19374133.033510689</v>
      </c>
      <c r="O42" s="62">
        <f t="shared" ref="O42:O105" si="6">G42</f>
        <v>341890</v>
      </c>
      <c r="P42" s="64">
        <f t="shared" ref="P42:P105" si="7">IF(B42=0,0,+(N42*($H$41/12)))</f>
        <v>0</v>
      </c>
      <c r="Q42" s="64">
        <f>O42-P42</f>
        <v>341890</v>
      </c>
      <c r="R42" s="64">
        <f>N42-Q42</f>
        <v>19032243.033510689</v>
      </c>
      <c r="S42" s="66"/>
      <c r="T42" s="68">
        <f t="shared" ref="T42:T105" si="8">B42</f>
        <v>0</v>
      </c>
      <c r="U42" s="69">
        <f>$AA$42/72</f>
        <v>278582.12546542624</v>
      </c>
      <c r="V42" s="62">
        <f>P42</f>
        <v>0</v>
      </c>
      <c r="W42" s="64">
        <f>U42+V42</f>
        <v>278582.12546542624</v>
      </c>
      <c r="X42" s="70"/>
      <c r="Y42" s="68">
        <f t="shared" ref="Y42:Y105" si="9">T42</f>
        <v>0</v>
      </c>
      <c r="Z42" s="71">
        <f t="shared" ref="Z42:Z105" si="10">M42</f>
        <v>44985</v>
      </c>
      <c r="AA42" s="69">
        <f>$N$42+$E$10</f>
        <v>20057913.033510689</v>
      </c>
      <c r="AB42" s="69">
        <f t="shared" ref="AB42:AB105" si="11">U42</f>
        <v>278582.12546542624</v>
      </c>
      <c r="AC42" s="69">
        <f>AB42</f>
        <v>278582.12546542624</v>
      </c>
      <c r="AD42" s="64">
        <f t="shared" ref="AD42:AD105" si="12">AA42-AB42</f>
        <v>19779330.908045262</v>
      </c>
      <c r="AE42" s="70"/>
      <c r="AF42" s="70"/>
    </row>
    <row r="43" spans="2:34" s="72" customFormat="1" x14ac:dyDescent="0.35">
      <c r="B43" s="60">
        <f>B42+1</f>
        <v>1</v>
      </c>
      <c r="C43" s="61">
        <v>45016</v>
      </c>
      <c r="D43" s="62">
        <f>D42</f>
        <v>341890</v>
      </c>
      <c r="E43" s="63">
        <v>0</v>
      </c>
      <c r="F43" s="63">
        <f>F42-E43</f>
        <v>683780</v>
      </c>
      <c r="G43" s="64">
        <f t="shared" si="2"/>
        <v>341890</v>
      </c>
      <c r="H43" s="65">
        <f t="shared" si="3"/>
        <v>1.0070833333333333</v>
      </c>
      <c r="I43" s="65">
        <f>1/H43</f>
        <v>0.99296648738105087</v>
      </c>
      <c r="J43" s="64">
        <f t="shared" si="4"/>
        <v>339485.31237070746</v>
      </c>
      <c r="K43" s="66"/>
      <c r="L43" s="64">
        <f t="shared" si="5"/>
        <v>1</v>
      </c>
      <c r="M43" s="67">
        <f t="shared" si="5"/>
        <v>45016</v>
      </c>
      <c r="N43" s="64">
        <f>R42</f>
        <v>19032243.033510689</v>
      </c>
      <c r="O43" s="64">
        <f t="shared" si="6"/>
        <v>341890</v>
      </c>
      <c r="P43" s="64">
        <f t="shared" si="7"/>
        <v>134811.72148736738</v>
      </c>
      <c r="Q43" s="64">
        <f>O43-P43</f>
        <v>207078.27851263262</v>
      </c>
      <c r="R43" s="64">
        <f>N43-Q43</f>
        <v>18825164.754998054</v>
      </c>
      <c r="S43" s="66"/>
      <c r="T43" s="68">
        <f t="shared" si="8"/>
        <v>1</v>
      </c>
      <c r="U43" s="69">
        <f>U42</f>
        <v>278582.12546542624</v>
      </c>
      <c r="V43" s="64">
        <f>P43</f>
        <v>134811.72148736738</v>
      </c>
      <c r="W43" s="64">
        <f t="shared" ref="W43:W76" si="13">U43+V43</f>
        <v>413393.84695279365</v>
      </c>
      <c r="X43" s="70"/>
      <c r="Y43" s="68">
        <f t="shared" si="9"/>
        <v>1</v>
      </c>
      <c r="Z43" s="71">
        <f t="shared" si="10"/>
        <v>45016</v>
      </c>
      <c r="AA43" s="69">
        <f>AD42</f>
        <v>19779330.908045262</v>
      </c>
      <c r="AB43" s="69">
        <f t="shared" si="11"/>
        <v>278582.12546542624</v>
      </c>
      <c r="AC43" s="69">
        <f>AB43+AB42</f>
        <v>557164.25093085249</v>
      </c>
      <c r="AD43" s="64">
        <f t="shared" si="12"/>
        <v>19500748.782579836</v>
      </c>
      <c r="AE43" s="70"/>
      <c r="AF43" s="70"/>
    </row>
    <row r="44" spans="2:34" x14ac:dyDescent="0.35">
      <c r="B44" s="47">
        <f t="shared" ref="B44:B107" si="14">B43+1</f>
        <v>2</v>
      </c>
      <c r="C44" s="73">
        <v>45046</v>
      </c>
      <c r="D44" s="74">
        <f t="shared" ref="D44:D107" si="15">D43</f>
        <v>341890</v>
      </c>
      <c r="E44" s="75">
        <v>0</v>
      </c>
      <c r="F44" s="75">
        <f t="shared" ref="F44:F107" si="16">F43-E44</f>
        <v>683780</v>
      </c>
      <c r="G44" s="49">
        <f t="shared" si="2"/>
        <v>341890</v>
      </c>
      <c r="H44" s="76">
        <f t="shared" si="3"/>
        <v>1.0142168402777778</v>
      </c>
      <c r="I44" s="76">
        <f t="shared" ref="I44:I107" si="17">1/H44</f>
        <v>0.98598244506186261</v>
      </c>
      <c r="J44" s="49">
        <f t="shared" si="4"/>
        <v>337097.53814220021</v>
      </c>
      <c r="K44" s="77"/>
      <c r="L44" s="49">
        <f t="shared" si="5"/>
        <v>2</v>
      </c>
      <c r="M44" s="78">
        <f t="shared" si="5"/>
        <v>45046</v>
      </c>
      <c r="N44" s="49">
        <f>R43</f>
        <v>18825164.754998054</v>
      </c>
      <c r="O44" s="49">
        <f t="shared" si="6"/>
        <v>341890</v>
      </c>
      <c r="P44" s="49">
        <f t="shared" si="7"/>
        <v>133344.91701456957</v>
      </c>
      <c r="Q44" s="49">
        <f t="shared" ref="Q44:Q107" si="18">O44-P44</f>
        <v>208545.08298543043</v>
      </c>
      <c r="R44" s="49">
        <f t="shared" ref="R44:R107" si="19">N44-Q44</f>
        <v>18616619.672012623</v>
      </c>
      <c r="S44" s="77"/>
      <c r="T44" s="79">
        <f t="shared" si="8"/>
        <v>2</v>
      </c>
      <c r="U44" s="80">
        <f t="shared" ref="U44:U107" si="20">U43</f>
        <v>278582.12546542624</v>
      </c>
      <c r="V44" s="49">
        <f>P44</f>
        <v>133344.91701456957</v>
      </c>
      <c r="W44" s="49">
        <f t="shared" si="13"/>
        <v>411927.04247999581</v>
      </c>
      <c r="Y44" s="79">
        <f t="shared" si="9"/>
        <v>2</v>
      </c>
      <c r="Z44" s="81">
        <f t="shared" si="10"/>
        <v>45046</v>
      </c>
      <c r="AA44" s="80">
        <f>AD43</f>
        <v>19500748.782579836</v>
      </c>
      <c r="AB44" s="80">
        <f t="shared" si="11"/>
        <v>278582.12546542624</v>
      </c>
      <c r="AC44" s="80">
        <f t="shared" ref="AC44:AC107" si="21">AC43+AB44</f>
        <v>835746.37639627873</v>
      </c>
      <c r="AD44" s="49">
        <f t="shared" si="12"/>
        <v>19222166.657114409</v>
      </c>
    </row>
    <row r="45" spans="2:34" x14ac:dyDescent="0.35">
      <c r="B45" s="47">
        <f t="shared" si="14"/>
        <v>3</v>
      </c>
      <c r="C45" s="82">
        <v>45077</v>
      </c>
      <c r="D45" s="74">
        <f t="shared" si="15"/>
        <v>341890</v>
      </c>
      <c r="E45" s="75">
        <v>0</v>
      </c>
      <c r="F45" s="75">
        <f t="shared" si="16"/>
        <v>683780</v>
      </c>
      <c r="G45" s="48">
        <f t="shared" si="2"/>
        <v>341890</v>
      </c>
      <c r="H45" s="83">
        <f t="shared" si="3"/>
        <v>1.0214008762297453</v>
      </c>
      <c r="I45" s="83">
        <f t="shared" si="17"/>
        <v>0.97904752509245785</v>
      </c>
      <c r="J45" s="48">
        <f t="shared" si="4"/>
        <v>334726.5583538604</v>
      </c>
      <c r="K45" s="84"/>
      <c r="L45" s="49">
        <f t="shared" si="5"/>
        <v>3</v>
      </c>
      <c r="M45" s="78">
        <f t="shared" si="5"/>
        <v>45077</v>
      </c>
      <c r="N45" s="49">
        <f t="shared" ref="N45:N108" si="22">R44</f>
        <v>18616619.672012623</v>
      </c>
      <c r="O45" s="49">
        <f t="shared" si="6"/>
        <v>341890</v>
      </c>
      <c r="P45" s="49">
        <f t="shared" si="7"/>
        <v>131867.72267675609</v>
      </c>
      <c r="Q45" s="49">
        <f t="shared" si="18"/>
        <v>210022.27732324391</v>
      </c>
      <c r="R45" s="49">
        <f t="shared" si="19"/>
        <v>18406597.394689381</v>
      </c>
      <c r="S45" s="84"/>
      <c r="T45" s="85">
        <f t="shared" si="8"/>
        <v>3</v>
      </c>
      <c r="U45" s="86">
        <f t="shared" si="20"/>
        <v>278582.12546542624</v>
      </c>
      <c r="V45" s="48">
        <f t="shared" ref="V45:V108" si="23">P45</f>
        <v>131867.72267675609</v>
      </c>
      <c r="W45" s="48">
        <f t="shared" si="13"/>
        <v>410449.84814218234</v>
      </c>
      <c r="X45" s="11"/>
      <c r="Y45" s="85">
        <f t="shared" si="9"/>
        <v>3</v>
      </c>
      <c r="Z45" s="87">
        <f t="shared" si="10"/>
        <v>45077</v>
      </c>
      <c r="AA45" s="86">
        <f t="shared" ref="AA45:AA108" si="24">AD44</f>
        <v>19222166.657114409</v>
      </c>
      <c r="AB45" s="86">
        <f t="shared" si="11"/>
        <v>278582.12546542624</v>
      </c>
      <c r="AC45" s="86">
        <f t="shared" si="21"/>
        <v>1114328.501861705</v>
      </c>
      <c r="AD45" s="48">
        <f t="shared" si="12"/>
        <v>18943584.531648982</v>
      </c>
      <c r="AE45" s="11"/>
    </row>
    <row r="46" spans="2:34" x14ac:dyDescent="0.35">
      <c r="B46" s="47">
        <f t="shared" si="14"/>
        <v>4</v>
      </c>
      <c r="C46" s="82">
        <v>45107</v>
      </c>
      <c r="D46" s="74">
        <f t="shared" si="15"/>
        <v>341890</v>
      </c>
      <c r="E46" s="75">
        <v>0</v>
      </c>
      <c r="F46" s="75">
        <f t="shared" si="16"/>
        <v>683780</v>
      </c>
      <c r="G46" s="48">
        <f t="shared" si="2"/>
        <v>341890</v>
      </c>
      <c r="H46" s="83">
        <f t="shared" si="3"/>
        <v>1.0286357991030395</v>
      </c>
      <c r="I46" s="83">
        <f t="shared" si="17"/>
        <v>0.97216138197016899</v>
      </c>
      <c r="J46" s="48">
        <f t="shared" si="4"/>
        <v>332372.25488178106</v>
      </c>
      <c r="K46" s="84"/>
      <c r="L46" s="49">
        <f t="shared" si="5"/>
        <v>4</v>
      </c>
      <c r="M46" s="78">
        <f t="shared" si="5"/>
        <v>45107</v>
      </c>
      <c r="N46" s="49">
        <f t="shared" si="22"/>
        <v>18406597.394689381</v>
      </c>
      <c r="O46" s="49">
        <f t="shared" si="6"/>
        <v>341890</v>
      </c>
      <c r="P46" s="49">
        <f t="shared" si="7"/>
        <v>130380.06487904979</v>
      </c>
      <c r="Q46" s="49">
        <f t="shared" si="18"/>
        <v>211509.93512095022</v>
      </c>
      <c r="R46" s="49">
        <f t="shared" si="19"/>
        <v>18195087.45956843</v>
      </c>
      <c r="S46" s="84"/>
      <c r="T46" s="85">
        <f t="shared" si="8"/>
        <v>4</v>
      </c>
      <c r="U46" s="86">
        <f t="shared" si="20"/>
        <v>278582.12546542624</v>
      </c>
      <c r="V46" s="48">
        <f t="shared" si="23"/>
        <v>130380.06487904979</v>
      </c>
      <c r="W46" s="48">
        <f t="shared" si="13"/>
        <v>408962.19034447602</v>
      </c>
      <c r="X46" s="11"/>
      <c r="Y46" s="85">
        <f t="shared" si="9"/>
        <v>4</v>
      </c>
      <c r="Z46" s="87">
        <f t="shared" si="10"/>
        <v>45107</v>
      </c>
      <c r="AA46" s="86">
        <f t="shared" si="24"/>
        <v>18943584.531648982</v>
      </c>
      <c r="AB46" s="86">
        <f t="shared" si="11"/>
        <v>278582.12546542624</v>
      </c>
      <c r="AC46" s="86">
        <f t="shared" si="21"/>
        <v>1392910.6273271311</v>
      </c>
      <c r="AD46" s="48">
        <f t="shared" si="12"/>
        <v>18665002.406183556</v>
      </c>
      <c r="AE46" s="11"/>
    </row>
    <row r="47" spans="2:34" x14ac:dyDescent="0.35">
      <c r="B47" s="47">
        <f t="shared" si="14"/>
        <v>5</v>
      </c>
      <c r="C47" s="82">
        <v>45138</v>
      </c>
      <c r="D47" s="74">
        <f t="shared" si="15"/>
        <v>341890</v>
      </c>
      <c r="E47" s="75">
        <v>0</v>
      </c>
      <c r="F47" s="75">
        <f t="shared" si="16"/>
        <v>683780</v>
      </c>
      <c r="G47" s="48">
        <f t="shared" si="2"/>
        <v>341890</v>
      </c>
      <c r="H47" s="83">
        <f t="shared" si="3"/>
        <v>1.0359219693466859</v>
      </c>
      <c r="I47" s="83">
        <f t="shared" si="17"/>
        <v>0.96532367262242691</v>
      </c>
      <c r="J47" s="48">
        <f t="shared" si="4"/>
        <v>330034.51043288154</v>
      </c>
      <c r="K47" s="84"/>
      <c r="L47" s="49">
        <f t="shared" si="5"/>
        <v>5</v>
      </c>
      <c r="M47" s="78">
        <f t="shared" si="5"/>
        <v>45138</v>
      </c>
      <c r="N47" s="49">
        <f t="shared" si="22"/>
        <v>18195087.45956843</v>
      </c>
      <c r="O47" s="49">
        <f t="shared" si="6"/>
        <v>341890</v>
      </c>
      <c r="P47" s="49">
        <f t="shared" si="7"/>
        <v>128881.86950527638</v>
      </c>
      <c r="Q47" s="49">
        <f t="shared" si="18"/>
        <v>213008.13049472362</v>
      </c>
      <c r="R47" s="49">
        <f t="shared" si="19"/>
        <v>17982079.329073705</v>
      </c>
      <c r="S47" s="84"/>
      <c r="T47" s="85">
        <f t="shared" si="8"/>
        <v>5</v>
      </c>
      <c r="U47" s="86">
        <f t="shared" si="20"/>
        <v>278582.12546542624</v>
      </c>
      <c r="V47" s="48">
        <f t="shared" si="23"/>
        <v>128881.86950527638</v>
      </c>
      <c r="W47" s="48">
        <f t="shared" si="13"/>
        <v>407463.99497070262</v>
      </c>
      <c r="X47" s="11"/>
      <c r="Y47" s="85">
        <f t="shared" si="9"/>
        <v>5</v>
      </c>
      <c r="Z47" s="87">
        <f t="shared" si="10"/>
        <v>45138</v>
      </c>
      <c r="AA47" s="86">
        <f t="shared" si="24"/>
        <v>18665002.406183556</v>
      </c>
      <c r="AB47" s="86">
        <f t="shared" si="11"/>
        <v>278582.12546542624</v>
      </c>
      <c r="AC47" s="86">
        <f t="shared" si="21"/>
        <v>1671492.7527925572</v>
      </c>
      <c r="AD47" s="48">
        <f t="shared" si="12"/>
        <v>18386420.280718129</v>
      </c>
      <c r="AE47" s="11"/>
    </row>
    <row r="48" spans="2:34" x14ac:dyDescent="0.35">
      <c r="B48" s="47">
        <f t="shared" si="14"/>
        <v>6</v>
      </c>
      <c r="C48" s="82">
        <v>45169</v>
      </c>
      <c r="D48" s="74">
        <f t="shared" si="15"/>
        <v>341890</v>
      </c>
      <c r="E48" s="75">
        <v>0</v>
      </c>
      <c r="F48" s="75">
        <f t="shared" si="16"/>
        <v>683780</v>
      </c>
      <c r="G48" s="48">
        <f t="shared" si="2"/>
        <v>341890</v>
      </c>
      <c r="H48" s="83">
        <f t="shared" si="3"/>
        <v>1.0432597499628917</v>
      </c>
      <c r="I48" s="83">
        <f t="shared" si="17"/>
        <v>0.95853405638966671</v>
      </c>
      <c r="J48" s="48">
        <f t="shared" si="4"/>
        <v>327713.20853906317</v>
      </c>
      <c r="K48" s="84"/>
      <c r="L48" s="49">
        <f t="shared" si="5"/>
        <v>6</v>
      </c>
      <c r="M48" s="78">
        <f t="shared" si="5"/>
        <v>45169</v>
      </c>
      <c r="N48" s="49">
        <f t="shared" si="22"/>
        <v>17982079.329073705</v>
      </c>
      <c r="O48" s="49">
        <f t="shared" si="6"/>
        <v>341890</v>
      </c>
      <c r="P48" s="49">
        <f t="shared" si="7"/>
        <v>127373.06191427208</v>
      </c>
      <c r="Q48" s="49">
        <f t="shared" si="18"/>
        <v>214516.93808572792</v>
      </c>
      <c r="R48" s="49">
        <f t="shared" si="19"/>
        <v>17767562.390987977</v>
      </c>
      <c r="S48" s="84"/>
      <c r="T48" s="85">
        <f t="shared" si="8"/>
        <v>6</v>
      </c>
      <c r="U48" s="86">
        <f t="shared" si="20"/>
        <v>278582.12546542624</v>
      </c>
      <c r="V48" s="48">
        <f t="shared" si="23"/>
        <v>127373.06191427208</v>
      </c>
      <c r="W48" s="48">
        <f t="shared" si="13"/>
        <v>405955.18737969833</v>
      </c>
      <c r="X48" s="11"/>
      <c r="Y48" s="85">
        <f t="shared" si="9"/>
        <v>6</v>
      </c>
      <c r="Z48" s="87">
        <f t="shared" si="10"/>
        <v>45169</v>
      </c>
      <c r="AA48" s="86">
        <f t="shared" si="24"/>
        <v>18386420.280718129</v>
      </c>
      <c r="AB48" s="86">
        <f t="shared" si="11"/>
        <v>278582.12546542624</v>
      </c>
      <c r="AC48" s="86">
        <f t="shared" si="21"/>
        <v>1950074.8782579834</v>
      </c>
      <c r="AD48" s="48">
        <f t="shared" si="12"/>
        <v>18107838.155252703</v>
      </c>
      <c r="AE48" s="11"/>
    </row>
    <row r="49" spans="1:49" x14ac:dyDescent="0.35">
      <c r="B49" s="47">
        <f t="shared" si="14"/>
        <v>7</v>
      </c>
      <c r="C49" s="82">
        <v>45199</v>
      </c>
      <c r="D49" s="74">
        <f t="shared" si="15"/>
        <v>341890</v>
      </c>
      <c r="E49" s="75">
        <v>0</v>
      </c>
      <c r="F49" s="75">
        <f t="shared" si="16"/>
        <v>683780</v>
      </c>
      <c r="G49" s="48">
        <f t="shared" si="2"/>
        <v>341890</v>
      </c>
      <c r="H49" s="83">
        <f t="shared" si="3"/>
        <v>1.0506495065251287</v>
      </c>
      <c r="I49" s="83">
        <f t="shared" si="17"/>
        <v>0.95179219500835766</v>
      </c>
      <c r="J49" s="48">
        <f t="shared" si="4"/>
        <v>325408.23355140741</v>
      </c>
      <c r="K49" s="84"/>
      <c r="L49" s="49">
        <f t="shared" si="5"/>
        <v>7</v>
      </c>
      <c r="M49" s="78">
        <f t="shared" si="5"/>
        <v>45199</v>
      </c>
      <c r="N49" s="49">
        <f t="shared" si="22"/>
        <v>17767562.390987977</v>
      </c>
      <c r="O49" s="49">
        <f t="shared" si="6"/>
        <v>341890</v>
      </c>
      <c r="P49" s="49">
        <f t="shared" si="7"/>
        <v>125853.56693616485</v>
      </c>
      <c r="Q49" s="49">
        <f t="shared" si="18"/>
        <v>216036.43306383514</v>
      </c>
      <c r="R49" s="49">
        <f t="shared" si="19"/>
        <v>17551525.957924142</v>
      </c>
      <c r="S49" s="84"/>
      <c r="T49" s="85">
        <f t="shared" si="8"/>
        <v>7</v>
      </c>
      <c r="U49" s="86">
        <f t="shared" si="20"/>
        <v>278582.12546542624</v>
      </c>
      <c r="V49" s="48">
        <f t="shared" si="23"/>
        <v>125853.56693616485</v>
      </c>
      <c r="W49" s="48">
        <f t="shared" si="13"/>
        <v>404435.69240159111</v>
      </c>
      <c r="X49" s="11"/>
      <c r="Y49" s="85">
        <f t="shared" si="9"/>
        <v>7</v>
      </c>
      <c r="Z49" s="87">
        <f t="shared" si="10"/>
        <v>45199</v>
      </c>
      <c r="AA49" s="86">
        <f t="shared" si="24"/>
        <v>18107838.155252703</v>
      </c>
      <c r="AB49" s="86">
        <f t="shared" si="11"/>
        <v>278582.12546542624</v>
      </c>
      <c r="AC49" s="86">
        <f t="shared" si="21"/>
        <v>2228657.0037234095</v>
      </c>
      <c r="AD49" s="48">
        <f t="shared" si="12"/>
        <v>17829256.029787276</v>
      </c>
      <c r="AE49" s="11"/>
    </row>
    <row r="50" spans="1:49" x14ac:dyDescent="0.35">
      <c r="B50" s="47">
        <f t="shared" si="14"/>
        <v>8</v>
      </c>
      <c r="C50" s="82">
        <v>45230</v>
      </c>
      <c r="D50" s="74">
        <f t="shared" si="15"/>
        <v>341890</v>
      </c>
      <c r="E50" s="75">
        <v>0</v>
      </c>
      <c r="F50" s="75">
        <f t="shared" si="16"/>
        <v>683780</v>
      </c>
      <c r="G50" s="48">
        <f t="shared" si="2"/>
        <v>341890</v>
      </c>
      <c r="H50" s="83">
        <f t="shared" si="3"/>
        <v>1.0580916071963486</v>
      </c>
      <c r="I50" s="83">
        <f t="shared" si="17"/>
        <v>0.94509775259414885</v>
      </c>
      <c r="J50" s="48">
        <f t="shared" si="4"/>
        <v>323119.47063441353</v>
      </c>
      <c r="K50" s="84"/>
      <c r="L50" s="49">
        <f t="shared" si="5"/>
        <v>8</v>
      </c>
      <c r="M50" s="78">
        <f t="shared" si="5"/>
        <v>45230</v>
      </c>
      <c r="N50" s="49">
        <f t="shared" si="22"/>
        <v>17551525.957924142</v>
      </c>
      <c r="O50" s="49">
        <f t="shared" si="6"/>
        <v>341890</v>
      </c>
      <c r="P50" s="49">
        <f t="shared" si="7"/>
        <v>124323.30886862935</v>
      </c>
      <c r="Q50" s="49">
        <f t="shared" si="18"/>
        <v>217566.69113137067</v>
      </c>
      <c r="R50" s="49">
        <f t="shared" si="19"/>
        <v>17333959.26679277</v>
      </c>
      <c r="S50" s="84"/>
      <c r="T50" s="85">
        <f t="shared" si="8"/>
        <v>8</v>
      </c>
      <c r="U50" s="86">
        <f t="shared" si="20"/>
        <v>278582.12546542624</v>
      </c>
      <c r="V50" s="48">
        <f t="shared" si="23"/>
        <v>124323.30886862935</v>
      </c>
      <c r="W50" s="48">
        <f t="shared" si="13"/>
        <v>402905.43433405558</v>
      </c>
      <c r="X50" s="11"/>
      <c r="Y50" s="85">
        <f t="shared" si="9"/>
        <v>8</v>
      </c>
      <c r="Z50" s="87">
        <f t="shared" si="10"/>
        <v>45230</v>
      </c>
      <c r="AA50" s="86">
        <f t="shared" si="24"/>
        <v>17829256.029787276</v>
      </c>
      <c r="AB50" s="86">
        <f t="shared" si="11"/>
        <v>278582.12546542624</v>
      </c>
      <c r="AC50" s="86">
        <f t="shared" si="21"/>
        <v>2507239.1291888356</v>
      </c>
      <c r="AD50" s="48">
        <f t="shared" si="12"/>
        <v>17550673.904321849</v>
      </c>
      <c r="AE50" s="11"/>
    </row>
    <row r="51" spans="1:49" x14ac:dyDescent="0.35">
      <c r="B51" s="47">
        <f t="shared" si="14"/>
        <v>9</v>
      </c>
      <c r="C51" s="82">
        <v>45260</v>
      </c>
      <c r="D51" s="74">
        <f t="shared" si="15"/>
        <v>341890</v>
      </c>
      <c r="E51" s="75">
        <v>0</v>
      </c>
      <c r="F51" s="75">
        <f t="shared" si="16"/>
        <v>683780</v>
      </c>
      <c r="G51" s="48">
        <f t="shared" si="2"/>
        <v>341890</v>
      </c>
      <c r="H51" s="83">
        <f t="shared" si="3"/>
        <v>1.0655864227473228</v>
      </c>
      <c r="I51" s="83">
        <f t="shared" si="17"/>
        <v>0.93845039562513732</v>
      </c>
      <c r="J51" s="48">
        <f t="shared" si="4"/>
        <v>320846.80576027819</v>
      </c>
      <c r="K51" s="84"/>
      <c r="L51" s="49">
        <f t="shared" si="5"/>
        <v>9</v>
      </c>
      <c r="M51" s="78">
        <f t="shared" si="5"/>
        <v>45260</v>
      </c>
      <c r="N51" s="49">
        <f t="shared" si="22"/>
        <v>17333959.26679277</v>
      </c>
      <c r="O51" s="49">
        <f t="shared" si="6"/>
        <v>341890</v>
      </c>
      <c r="P51" s="49">
        <f t="shared" si="7"/>
        <v>122782.21147311547</v>
      </c>
      <c r="Q51" s="49">
        <f t="shared" si="18"/>
        <v>219107.78852688451</v>
      </c>
      <c r="R51" s="49">
        <f t="shared" si="19"/>
        <v>17114851.478265885</v>
      </c>
      <c r="S51" s="84"/>
      <c r="T51" s="85">
        <f t="shared" si="8"/>
        <v>9</v>
      </c>
      <c r="U51" s="86">
        <f t="shared" si="20"/>
        <v>278582.12546542624</v>
      </c>
      <c r="V51" s="48">
        <f t="shared" si="23"/>
        <v>122782.21147311547</v>
      </c>
      <c r="W51" s="48">
        <f t="shared" si="13"/>
        <v>401364.33693854173</v>
      </c>
      <c r="X51" s="11"/>
      <c r="Y51" s="85">
        <f t="shared" si="9"/>
        <v>9</v>
      </c>
      <c r="Z51" s="87">
        <f t="shared" si="10"/>
        <v>45260</v>
      </c>
      <c r="AA51" s="86">
        <f t="shared" si="24"/>
        <v>17550673.904321849</v>
      </c>
      <c r="AB51" s="86">
        <f t="shared" si="11"/>
        <v>278582.12546542624</v>
      </c>
      <c r="AC51" s="86">
        <f t="shared" si="21"/>
        <v>2785821.2546542617</v>
      </c>
      <c r="AD51" s="48">
        <f t="shared" si="12"/>
        <v>17272091.778856423</v>
      </c>
      <c r="AE51" s="11"/>
    </row>
    <row r="52" spans="1:49" s="3" customFormat="1" x14ac:dyDescent="0.35">
      <c r="A52" s="6"/>
      <c r="B52" s="47">
        <f t="shared" si="14"/>
        <v>10</v>
      </c>
      <c r="C52" s="82">
        <v>45291</v>
      </c>
      <c r="D52" s="74">
        <f t="shared" si="15"/>
        <v>341890</v>
      </c>
      <c r="E52" s="75">
        <v>0</v>
      </c>
      <c r="F52" s="75">
        <f t="shared" si="16"/>
        <v>683780</v>
      </c>
      <c r="G52" s="48">
        <f t="shared" si="2"/>
        <v>341890</v>
      </c>
      <c r="H52" s="83">
        <f t="shared" si="3"/>
        <v>1.0731343265751163</v>
      </c>
      <c r="I52" s="83">
        <f t="shared" si="17"/>
        <v>0.93184979292525028</v>
      </c>
      <c r="J52" s="48">
        <f t="shared" si="4"/>
        <v>318590.12570321379</v>
      </c>
      <c r="K52" s="84"/>
      <c r="L52" s="49">
        <f t="shared" si="5"/>
        <v>10</v>
      </c>
      <c r="M52" s="78">
        <f t="shared" si="5"/>
        <v>45291</v>
      </c>
      <c r="N52" s="49">
        <f t="shared" si="22"/>
        <v>17114851.478265885</v>
      </c>
      <c r="O52" s="49">
        <f t="shared" si="6"/>
        <v>341890</v>
      </c>
      <c r="P52" s="49">
        <f t="shared" si="7"/>
        <v>121230.19797105003</v>
      </c>
      <c r="Q52" s="49">
        <f t="shared" si="18"/>
        <v>220659.80202894995</v>
      </c>
      <c r="R52" s="49">
        <f t="shared" si="19"/>
        <v>16894191.676236935</v>
      </c>
      <c r="S52" s="84"/>
      <c r="T52" s="85">
        <f t="shared" si="8"/>
        <v>10</v>
      </c>
      <c r="U52" s="86">
        <f t="shared" si="20"/>
        <v>278582.12546542624</v>
      </c>
      <c r="V52" s="48">
        <f t="shared" si="23"/>
        <v>121230.19797105003</v>
      </c>
      <c r="W52" s="48">
        <f t="shared" si="13"/>
        <v>399812.32343647629</v>
      </c>
      <c r="X52" s="11"/>
      <c r="Y52" s="85">
        <f t="shared" si="9"/>
        <v>10</v>
      </c>
      <c r="Z52" s="87">
        <f t="shared" si="10"/>
        <v>45291</v>
      </c>
      <c r="AA52" s="86">
        <f t="shared" si="24"/>
        <v>17272091.778856423</v>
      </c>
      <c r="AB52" s="86">
        <f t="shared" si="11"/>
        <v>278582.12546542624</v>
      </c>
      <c r="AC52" s="86">
        <f t="shared" si="21"/>
        <v>3064403.3801196879</v>
      </c>
      <c r="AD52" s="48">
        <f t="shared" si="12"/>
        <v>16993509.653390996</v>
      </c>
      <c r="AE52" s="11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</row>
    <row r="53" spans="1:49" s="3" customFormat="1" x14ac:dyDescent="0.35">
      <c r="A53" s="6"/>
      <c r="B53" s="47">
        <f t="shared" si="14"/>
        <v>11</v>
      </c>
      <c r="C53" s="82">
        <v>45322</v>
      </c>
      <c r="D53" s="74">
        <f t="shared" si="15"/>
        <v>341890</v>
      </c>
      <c r="E53" s="75">
        <v>0</v>
      </c>
      <c r="F53" s="75">
        <f t="shared" si="16"/>
        <v>683780</v>
      </c>
      <c r="G53" s="48">
        <f t="shared" si="2"/>
        <v>341890</v>
      </c>
      <c r="H53" s="83">
        <f t="shared" si="3"/>
        <v>1.08073569472169</v>
      </c>
      <c r="I53" s="83">
        <f t="shared" si="17"/>
        <v>0.92529561564774543</v>
      </c>
      <c r="J53" s="48">
        <f t="shared" si="4"/>
        <v>316349.31803380768</v>
      </c>
      <c r="K53" s="84"/>
      <c r="L53" s="49">
        <f t="shared" si="5"/>
        <v>11</v>
      </c>
      <c r="M53" s="78">
        <f t="shared" si="5"/>
        <v>45322</v>
      </c>
      <c r="N53" s="49">
        <f t="shared" si="22"/>
        <v>16894191.676236935</v>
      </c>
      <c r="O53" s="49">
        <f t="shared" si="6"/>
        <v>341890</v>
      </c>
      <c r="P53" s="49">
        <f t="shared" si="7"/>
        <v>119667.19104001163</v>
      </c>
      <c r="Q53" s="49">
        <f t="shared" si="18"/>
        <v>222222.80895998835</v>
      </c>
      <c r="R53" s="49">
        <f t="shared" si="19"/>
        <v>16671968.867276946</v>
      </c>
      <c r="S53" s="84"/>
      <c r="T53" s="85">
        <f t="shared" si="8"/>
        <v>11</v>
      </c>
      <c r="U53" s="86">
        <f t="shared" si="20"/>
        <v>278582.12546542624</v>
      </c>
      <c r="V53" s="48">
        <f t="shared" si="23"/>
        <v>119667.19104001163</v>
      </c>
      <c r="W53" s="48">
        <f t="shared" si="13"/>
        <v>398249.31650543789</v>
      </c>
      <c r="X53" s="11"/>
      <c r="Y53" s="85">
        <f t="shared" si="9"/>
        <v>11</v>
      </c>
      <c r="Z53" s="87">
        <f t="shared" si="10"/>
        <v>45322</v>
      </c>
      <c r="AA53" s="86">
        <f t="shared" si="24"/>
        <v>16993509.653390996</v>
      </c>
      <c r="AB53" s="86">
        <f t="shared" si="11"/>
        <v>278582.12546542624</v>
      </c>
      <c r="AC53" s="86">
        <f t="shared" si="21"/>
        <v>3342985.505585114</v>
      </c>
      <c r="AD53" s="48">
        <f t="shared" si="12"/>
        <v>16714927.52792557</v>
      </c>
      <c r="AE53" s="11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</row>
    <row r="54" spans="1:49" s="3" customFormat="1" x14ac:dyDescent="0.35">
      <c r="A54" s="6"/>
      <c r="B54" s="47">
        <f t="shared" si="14"/>
        <v>12</v>
      </c>
      <c r="C54" s="82">
        <v>45351</v>
      </c>
      <c r="D54" s="74">
        <f t="shared" si="15"/>
        <v>341890</v>
      </c>
      <c r="E54" s="75">
        <v>0</v>
      </c>
      <c r="F54" s="75">
        <f t="shared" si="16"/>
        <v>683780</v>
      </c>
      <c r="G54" s="48">
        <f t="shared" si="2"/>
        <v>341890</v>
      </c>
      <c r="H54" s="83">
        <f t="shared" si="3"/>
        <v>1.0883909058926355</v>
      </c>
      <c r="I54" s="83">
        <f t="shared" si="17"/>
        <v>0.91878753725882856</v>
      </c>
      <c r="J54" s="48">
        <f t="shared" si="4"/>
        <v>314124.27111342089</v>
      </c>
      <c r="K54" s="84"/>
      <c r="L54" s="49">
        <f t="shared" si="5"/>
        <v>12</v>
      </c>
      <c r="M54" s="78">
        <f t="shared" si="5"/>
        <v>45351</v>
      </c>
      <c r="N54" s="49">
        <f t="shared" si="22"/>
        <v>16671968.867276946</v>
      </c>
      <c r="O54" s="49">
        <f t="shared" si="6"/>
        <v>341890</v>
      </c>
      <c r="P54" s="49">
        <f t="shared" si="7"/>
        <v>118093.11280987838</v>
      </c>
      <c r="Q54" s="49">
        <f t="shared" si="18"/>
        <v>223796.88719012163</v>
      </c>
      <c r="R54" s="49">
        <f t="shared" si="19"/>
        <v>16448171.980086824</v>
      </c>
      <c r="S54" s="84"/>
      <c r="T54" s="85">
        <f t="shared" si="8"/>
        <v>12</v>
      </c>
      <c r="U54" s="86">
        <f t="shared" si="20"/>
        <v>278582.12546542624</v>
      </c>
      <c r="V54" s="48">
        <f t="shared" si="23"/>
        <v>118093.11280987838</v>
      </c>
      <c r="W54" s="48">
        <f t="shared" si="13"/>
        <v>396675.23827530461</v>
      </c>
      <c r="X54" s="11"/>
      <c r="Y54" s="85">
        <f t="shared" si="9"/>
        <v>12</v>
      </c>
      <c r="Z54" s="87">
        <f t="shared" si="10"/>
        <v>45351</v>
      </c>
      <c r="AA54" s="86">
        <f t="shared" si="24"/>
        <v>16714927.52792557</v>
      </c>
      <c r="AB54" s="86">
        <f t="shared" si="11"/>
        <v>278582.12546542624</v>
      </c>
      <c r="AC54" s="86">
        <f t="shared" si="21"/>
        <v>3621567.6310505401</v>
      </c>
      <c r="AD54" s="48">
        <f t="shared" si="12"/>
        <v>16436345.402460143</v>
      </c>
      <c r="AE54" s="11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</row>
    <row r="55" spans="1:49" s="3" customFormat="1" x14ac:dyDescent="0.35">
      <c r="A55" s="6"/>
      <c r="B55" s="47">
        <f t="shared" si="14"/>
        <v>13</v>
      </c>
      <c r="C55" s="82">
        <v>45382</v>
      </c>
      <c r="D55" s="74">
        <f t="shared" si="15"/>
        <v>341890</v>
      </c>
      <c r="E55" s="75">
        <v>0</v>
      </c>
      <c r="F55" s="75">
        <f t="shared" si="16"/>
        <v>683780</v>
      </c>
      <c r="G55" s="48">
        <f t="shared" si="2"/>
        <v>341890</v>
      </c>
      <c r="H55" s="83">
        <f t="shared" si="3"/>
        <v>1.0961003414760415</v>
      </c>
      <c r="I55" s="83">
        <f t="shared" si="17"/>
        <v>0.9123252335213855</v>
      </c>
      <c r="J55" s="48">
        <f t="shared" si="4"/>
        <v>311914.87408862647</v>
      </c>
      <c r="K55" s="84"/>
      <c r="L55" s="49">
        <f t="shared" si="5"/>
        <v>13</v>
      </c>
      <c r="M55" s="78">
        <f t="shared" si="5"/>
        <v>45382</v>
      </c>
      <c r="N55" s="49">
        <f t="shared" si="22"/>
        <v>16448171.980086824</v>
      </c>
      <c r="O55" s="49">
        <f t="shared" si="6"/>
        <v>341890</v>
      </c>
      <c r="P55" s="49">
        <f t="shared" si="7"/>
        <v>116507.88485894834</v>
      </c>
      <c r="Q55" s="49">
        <f t="shared" si="18"/>
        <v>225382.11514105165</v>
      </c>
      <c r="R55" s="49">
        <f t="shared" si="19"/>
        <v>16222789.864945773</v>
      </c>
      <c r="S55" s="84"/>
      <c r="T55" s="85">
        <f t="shared" si="8"/>
        <v>13</v>
      </c>
      <c r="U55" s="86">
        <f t="shared" si="20"/>
        <v>278582.12546542624</v>
      </c>
      <c r="V55" s="48">
        <f t="shared" si="23"/>
        <v>116507.88485894834</v>
      </c>
      <c r="W55" s="48">
        <f t="shared" si="13"/>
        <v>395090.0103243746</v>
      </c>
      <c r="X55" s="11"/>
      <c r="Y55" s="85">
        <f t="shared" si="9"/>
        <v>13</v>
      </c>
      <c r="Z55" s="87">
        <f t="shared" si="10"/>
        <v>45382</v>
      </c>
      <c r="AA55" s="86">
        <f t="shared" si="24"/>
        <v>16436345.402460143</v>
      </c>
      <c r="AB55" s="86">
        <f t="shared" si="11"/>
        <v>278582.12546542624</v>
      </c>
      <c r="AC55" s="86">
        <f t="shared" si="21"/>
        <v>3900149.7565159663</v>
      </c>
      <c r="AD55" s="48">
        <f t="shared" si="12"/>
        <v>16157763.276994716</v>
      </c>
      <c r="AE55" s="11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</row>
    <row r="56" spans="1:49" s="3" customFormat="1" x14ac:dyDescent="0.35">
      <c r="A56" s="6"/>
      <c r="B56" s="47">
        <f t="shared" si="14"/>
        <v>14</v>
      </c>
      <c r="C56" s="82">
        <v>45412</v>
      </c>
      <c r="D56" s="74">
        <f t="shared" si="15"/>
        <v>341890</v>
      </c>
      <c r="E56" s="75">
        <v>0</v>
      </c>
      <c r="F56" s="75">
        <f t="shared" si="16"/>
        <v>683780</v>
      </c>
      <c r="G56" s="48">
        <f t="shared" si="2"/>
        <v>341890</v>
      </c>
      <c r="H56" s="83">
        <f t="shared" si="3"/>
        <v>1.1038643855614969</v>
      </c>
      <c r="I56" s="83">
        <f t="shared" si="17"/>
        <v>0.9059083824788271</v>
      </c>
      <c r="J56" s="48">
        <f t="shared" si="4"/>
        <v>309721.0168856862</v>
      </c>
      <c r="K56" s="84"/>
      <c r="L56" s="49">
        <f t="shared" si="5"/>
        <v>14</v>
      </c>
      <c r="M56" s="78">
        <f t="shared" si="5"/>
        <v>45412</v>
      </c>
      <c r="N56" s="49">
        <f t="shared" si="22"/>
        <v>16222789.864945773</v>
      </c>
      <c r="O56" s="49">
        <f t="shared" si="6"/>
        <v>341890</v>
      </c>
      <c r="P56" s="49">
        <f t="shared" si="7"/>
        <v>114911.42821003257</v>
      </c>
      <c r="Q56" s="49">
        <f t="shared" si="18"/>
        <v>226978.57178996742</v>
      </c>
      <c r="R56" s="49">
        <f t="shared" si="19"/>
        <v>15995811.293155806</v>
      </c>
      <c r="S56" s="84"/>
      <c r="T56" s="85">
        <f t="shared" si="8"/>
        <v>14</v>
      </c>
      <c r="U56" s="86">
        <f t="shared" si="20"/>
        <v>278582.12546542624</v>
      </c>
      <c r="V56" s="48">
        <f t="shared" si="23"/>
        <v>114911.42821003257</v>
      </c>
      <c r="W56" s="48">
        <f t="shared" si="13"/>
        <v>393493.55367545882</v>
      </c>
      <c r="X56" s="11"/>
      <c r="Y56" s="85">
        <f t="shared" si="9"/>
        <v>14</v>
      </c>
      <c r="Z56" s="87">
        <f t="shared" si="10"/>
        <v>45412</v>
      </c>
      <c r="AA56" s="86">
        <f t="shared" si="24"/>
        <v>16157763.276994716</v>
      </c>
      <c r="AB56" s="86">
        <f t="shared" si="11"/>
        <v>278582.12546542624</v>
      </c>
      <c r="AC56" s="86">
        <f t="shared" si="21"/>
        <v>4178731.8819813924</v>
      </c>
      <c r="AD56" s="48">
        <f t="shared" si="12"/>
        <v>15879181.15152929</v>
      </c>
      <c r="AE56" s="11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</row>
    <row r="57" spans="1:49" s="3" customFormat="1" x14ac:dyDescent="0.35">
      <c r="A57" s="6"/>
      <c r="B57" s="47">
        <f t="shared" si="14"/>
        <v>15</v>
      </c>
      <c r="C57" s="82">
        <v>45443</v>
      </c>
      <c r="D57" s="74">
        <f t="shared" si="15"/>
        <v>341890</v>
      </c>
      <c r="E57" s="75">
        <v>0</v>
      </c>
      <c r="F57" s="75">
        <f t="shared" si="16"/>
        <v>683780</v>
      </c>
      <c r="G57" s="48">
        <f t="shared" si="2"/>
        <v>341890</v>
      </c>
      <c r="H57" s="83">
        <f t="shared" si="3"/>
        <v>1.111683424959224</v>
      </c>
      <c r="I57" s="83">
        <f t="shared" si="17"/>
        <v>0.89953666443905067</v>
      </c>
      <c r="J57" s="48">
        <f t="shared" si="4"/>
        <v>307542.59020506701</v>
      </c>
      <c r="K57" s="84"/>
      <c r="L57" s="49">
        <f t="shared" si="5"/>
        <v>15</v>
      </c>
      <c r="M57" s="78">
        <f t="shared" si="5"/>
        <v>45443</v>
      </c>
      <c r="N57" s="49">
        <f t="shared" si="22"/>
        <v>15995811.293155806</v>
      </c>
      <c r="O57" s="49">
        <f t="shared" si="6"/>
        <v>341890</v>
      </c>
      <c r="P57" s="49">
        <f t="shared" si="7"/>
        <v>113303.6633265203</v>
      </c>
      <c r="Q57" s="49">
        <f t="shared" si="18"/>
        <v>228586.3366734797</v>
      </c>
      <c r="R57" s="49">
        <f t="shared" si="19"/>
        <v>15767224.956482327</v>
      </c>
      <c r="S57" s="84"/>
      <c r="T57" s="85">
        <f t="shared" si="8"/>
        <v>15</v>
      </c>
      <c r="U57" s="86">
        <f t="shared" si="20"/>
        <v>278582.12546542624</v>
      </c>
      <c r="V57" s="48">
        <f t="shared" si="23"/>
        <v>113303.6633265203</v>
      </c>
      <c r="W57" s="48">
        <f t="shared" si="13"/>
        <v>391885.78879194654</v>
      </c>
      <c r="X57" s="11"/>
      <c r="Y57" s="85">
        <f t="shared" si="9"/>
        <v>15</v>
      </c>
      <c r="Z57" s="87">
        <f t="shared" si="10"/>
        <v>45443</v>
      </c>
      <c r="AA57" s="86">
        <f t="shared" si="24"/>
        <v>15879181.15152929</v>
      </c>
      <c r="AB57" s="86">
        <f t="shared" si="11"/>
        <v>278582.12546542624</v>
      </c>
      <c r="AC57" s="86">
        <f t="shared" si="21"/>
        <v>4457314.007446819</v>
      </c>
      <c r="AD57" s="48">
        <f t="shared" si="12"/>
        <v>15600599.026063863</v>
      </c>
      <c r="AE57" s="11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</row>
    <row r="58" spans="1:49" s="3" customFormat="1" x14ac:dyDescent="0.35">
      <c r="A58" s="6"/>
      <c r="B58" s="47">
        <f t="shared" si="14"/>
        <v>16</v>
      </c>
      <c r="C58" s="82">
        <v>45473</v>
      </c>
      <c r="D58" s="74">
        <f t="shared" si="15"/>
        <v>341890</v>
      </c>
      <c r="E58" s="75">
        <v>0</v>
      </c>
      <c r="F58" s="75">
        <f t="shared" si="16"/>
        <v>683780</v>
      </c>
      <c r="G58" s="48">
        <f t="shared" si="2"/>
        <v>341890</v>
      </c>
      <c r="H58" s="83">
        <f t="shared" si="3"/>
        <v>1.1195578492193521</v>
      </c>
      <c r="I58" s="83">
        <f t="shared" si="17"/>
        <v>0.89320976195851098</v>
      </c>
      <c r="J58" s="48">
        <f t="shared" si="4"/>
        <v>305379.4855159953</v>
      </c>
      <c r="K58" s="84"/>
      <c r="L58" s="49">
        <f t="shared" si="5"/>
        <v>16</v>
      </c>
      <c r="M58" s="78">
        <f t="shared" si="5"/>
        <v>45473</v>
      </c>
      <c r="N58" s="49">
        <f t="shared" si="22"/>
        <v>15767224.956482327</v>
      </c>
      <c r="O58" s="49">
        <f t="shared" si="6"/>
        <v>341890</v>
      </c>
      <c r="P58" s="49">
        <f t="shared" si="7"/>
        <v>111684.51010841649</v>
      </c>
      <c r="Q58" s="49">
        <f t="shared" si="18"/>
        <v>230205.48989158351</v>
      </c>
      <c r="R58" s="49">
        <f t="shared" si="19"/>
        <v>15537019.466590744</v>
      </c>
      <c r="S58" s="84"/>
      <c r="T58" s="85">
        <f t="shared" si="8"/>
        <v>16</v>
      </c>
      <c r="U58" s="86">
        <f t="shared" si="20"/>
        <v>278582.12546542624</v>
      </c>
      <c r="V58" s="48">
        <f t="shared" si="23"/>
        <v>111684.51010841649</v>
      </c>
      <c r="W58" s="48">
        <f t="shared" si="13"/>
        <v>390266.63557384274</v>
      </c>
      <c r="X58" s="11"/>
      <c r="Y58" s="85">
        <f t="shared" si="9"/>
        <v>16</v>
      </c>
      <c r="Z58" s="87">
        <f t="shared" si="10"/>
        <v>45473</v>
      </c>
      <c r="AA58" s="86">
        <f t="shared" si="24"/>
        <v>15600599.026063863</v>
      </c>
      <c r="AB58" s="86">
        <f t="shared" si="11"/>
        <v>278582.12546542624</v>
      </c>
      <c r="AC58" s="86">
        <f t="shared" si="21"/>
        <v>4735896.1329122456</v>
      </c>
      <c r="AD58" s="48">
        <f t="shared" si="12"/>
        <v>15322016.900598437</v>
      </c>
      <c r="AE58" s="11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</row>
    <row r="59" spans="1:49" s="3" customFormat="1" x14ac:dyDescent="0.35">
      <c r="A59" s="6"/>
      <c r="B59" s="47">
        <f t="shared" si="14"/>
        <v>17</v>
      </c>
      <c r="C59" s="82">
        <v>45504</v>
      </c>
      <c r="D59" s="74">
        <f t="shared" si="15"/>
        <v>341890</v>
      </c>
      <c r="E59" s="75">
        <v>0</v>
      </c>
      <c r="F59" s="75">
        <f t="shared" si="16"/>
        <v>683780</v>
      </c>
      <c r="G59" s="48">
        <f t="shared" si="2"/>
        <v>341890</v>
      </c>
      <c r="H59" s="83">
        <f t="shared" si="3"/>
        <v>1.1274880506513225</v>
      </c>
      <c r="I59" s="83">
        <f t="shared" si="17"/>
        <v>0.88692735982640725</v>
      </c>
      <c r="J59" s="48">
        <f t="shared" si="4"/>
        <v>303231.59505105036</v>
      </c>
      <c r="K59" s="84"/>
      <c r="L59" s="49">
        <f t="shared" si="5"/>
        <v>17</v>
      </c>
      <c r="M59" s="78">
        <f t="shared" si="5"/>
        <v>45504</v>
      </c>
      <c r="N59" s="49">
        <f t="shared" si="22"/>
        <v>15537019.466590744</v>
      </c>
      <c r="O59" s="49">
        <f t="shared" si="6"/>
        <v>341890</v>
      </c>
      <c r="P59" s="49">
        <f t="shared" si="7"/>
        <v>110053.88788835111</v>
      </c>
      <c r="Q59" s="49">
        <f t="shared" si="18"/>
        <v>231836.11211164889</v>
      </c>
      <c r="R59" s="49">
        <f t="shared" si="19"/>
        <v>15305183.354479095</v>
      </c>
      <c r="S59" s="84"/>
      <c r="T59" s="85">
        <f t="shared" si="8"/>
        <v>17</v>
      </c>
      <c r="U59" s="86">
        <f t="shared" si="20"/>
        <v>278582.12546542624</v>
      </c>
      <c r="V59" s="48">
        <f t="shared" si="23"/>
        <v>110053.88788835111</v>
      </c>
      <c r="W59" s="48">
        <f t="shared" si="13"/>
        <v>388636.01335377735</v>
      </c>
      <c r="X59" s="11"/>
      <c r="Y59" s="85">
        <f t="shared" si="9"/>
        <v>17</v>
      </c>
      <c r="Z59" s="87">
        <f t="shared" si="10"/>
        <v>45504</v>
      </c>
      <c r="AA59" s="86">
        <f t="shared" si="24"/>
        <v>15322016.900598437</v>
      </c>
      <c r="AB59" s="86">
        <f t="shared" si="11"/>
        <v>278582.12546542624</v>
      </c>
      <c r="AC59" s="86">
        <f t="shared" si="21"/>
        <v>5014478.2583776722</v>
      </c>
      <c r="AD59" s="48">
        <f t="shared" si="12"/>
        <v>15043434.77513301</v>
      </c>
      <c r="AE59" s="11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</row>
    <row r="60" spans="1:49" s="3" customFormat="1" x14ac:dyDescent="0.35">
      <c r="A60" s="6"/>
      <c r="B60" s="47">
        <f t="shared" si="14"/>
        <v>18</v>
      </c>
      <c r="C60" s="82">
        <v>45535</v>
      </c>
      <c r="D60" s="74">
        <f t="shared" si="15"/>
        <v>341890</v>
      </c>
      <c r="E60" s="75">
        <v>0</v>
      </c>
      <c r="F60" s="75">
        <f t="shared" si="16"/>
        <v>683780</v>
      </c>
      <c r="G60" s="48">
        <f t="shared" si="2"/>
        <v>341890</v>
      </c>
      <c r="H60" s="83">
        <f t="shared" si="3"/>
        <v>1.135474424343436</v>
      </c>
      <c r="I60" s="83">
        <f t="shared" si="17"/>
        <v>0.880689145048977</v>
      </c>
      <c r="J60" s="48">
        <f t="shared" si="4"/>
        <v>301098.81180079473</v>
      </c>
      <c r="K60" s="84"/>
      <c r="L60" s="49">
        <f t="shared" si="5"/>
        <v>18</v>
      </c>
      <c r="M60" s="78">
        <f t="shared" si="5"/>
        <v>45535</v>
      </c>
      <c r="N60" s="49">
        <f t="shared" si="22"/>
        <v>15305183.354479095</v>
      </c>
      <c r="O60" s="49">
        <f t="shared" si="6"/>
        <v>341890</v>
      </c>
      <c r="P60" s="49">
        <f t="shared" si="7"/>
        <v>108411.71542756027</v>
      </c>
      <c r="Q60" s="49">
        <f t="shared" si="18"/>
        <v>233478.28457243973</v>
      </c>
      <c r="R60" s="49">
        <f t="shared" si="19"/>
        <v>15071705.069906656</v>
      </c>
      <c r="S60" s="84"/>
      <c r="T60" s="85">
        <f t="shared" si="8"/>
        <v>18</v>
      </c>
      <c r="U60" s="86">
        <f t="shared" si="20"/>
        <v>278582.12546542624</v>
      </c>
      <c r="V60" s="48">
        <f t="shared" si="23"/>
        <v>108411.71542756027</v>
      </c>
      <c r="W60" s="48">
        <f t="shared" si="13"/>
        <v>386993.84089298651</v>
      </c>
      <c r="X60" s="11"/>
      <c r="Y60" s="85">
        <f t="shared" si="9"/>
        <v>18</v>
      </c>
      <c r="Z60" s="87">
        <f t="shared" si="10"/>
        <v>45535</v>
      </c>
      <c r="AA60" s="86">
        <f t="shared" si="24"/>
        <v>15043434.77513301</v>
      </c>
      <c r="AB60" s="86">
        <f t="shared" si="11"/>
        <v>278582.12546542624</v>
      </c>
      <c r="AC60" s="86">
        <f t="shared" si="21"/>
        <v>5293060.3838430988</v>
      </c>
      <c r="AD60" s="48">
        <f t="shared" si="12"/>
        <v>14764852.649667583</v>
      </c>
      <c r="AE60" s="11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</row>
    <row r="61" spans="1:49" s="3" customFormat="1" x14ac:dyDescent="0.35">
      <c r="A61" s="6"/>
      <c r="B61" s="47">
        <f t="shared" si="14"/>
        <v>19</v>
      </c>
      <c r="C61" s="82">
        <v>45565</v>
      </c>
      <c r="D61" s="74">
        <f t="shared" si="15"/>
        <v>341890</v>
      </c>
      <c r="E61" s="75">
        <v>0</v>
      </c>
      <c r="F61" s="75">
        <f t="shared" si="16"/>
        <v>683780</v>
      </c>
      <c r="G61" s="48">
        <f t="shared" si="2"/>
        <v>341890</v>
      </c>
      <c r="H61" s="83">
        <f t="shared" si="3"/>
        <v>1.1435173681825352</v>
      </c>
      <c r="I61" s="83">
        <f t="shared" si="17"/>
        <v>0.87449480683390357</v>
      </c>
      <c r="J61" s="48">
        <f t="shared" si="4"/>
        <v>298981.02950844332</v>
      </c>
      <c r="K61" s="84"/>
      <c r="L61" s="49">
        <f t="shared" si="5"/>
        <v>19</v>
      </c>
      <c r="M61" s="78">
        <f t="shared" si="5"/>
        <v>45565</v>
      </c>
      <c r="N61" s="49">
        <f t="shared" si="22"/>
        <v>15071705.069906656</v>
      </c>
      <c r="O61" s="49">
        <f t="shared" si="6"/>
        <v>341890</v>
      </c>
      <c r="P61" s="49">
        <f t="shared" si="7"/>
        <v>106757.91091183882</v>
      </c>
      <c r="Q61" s="49">
        <f t="shared" si="18"/>
        <v>235132.08908816118</v>
      </c>
      <c r="R61" s="49">
        <f t="shared" si="19"/>
        <v>14836572.980818495</v>
      </c>
      <c r="S61" s="84"/>
      <c r="T61" s="85">
        <f t="shared" si="8"/>
        <v>19</v>
      </c>
      <c r="U61" s="86">
        <f t="shared" si="20"/>
        <v>278582.12546542624</v>
      </c>
      <c r="V61" s="48">
        <f t="shared" si="23"/>
        <v>106757.91091183882</v>
      </c>
      <c r="W61" s="48">
        <f t="shared" si="13"/>
        <v>385340.03637726506</v>
      </c>
      <c r="X61" s="11"/>
      <c r="Y61" s="85">
        <f t="shared" si="9"/>
        <v>19</v>
      </c>
      <c r="Z61" s="87">
        <f t="shared" si="10"/>
        <v>45565</v>
      </c>
      <c r="AA61" s="86">
        <f t="shared" si="24"/>
        <v>14764852.649667583</v>
      </c>
      <c r="AB61" s="86">
        <f t="shared" si="11"/>
        <v>278582.12546542624</v>
      </c>
      <c r="AC61" s="86">
        <f t="shared" si="21"/>
        <v>5571642.5093085254</v>
      </c>
      <c r="AD61" s="48">
        <f t="shared" si="12"/>
        <v>14486270.524202157</v>
      </c>
      <c r="AE61" s="11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</row>
    <row r="62" spans="1:49" s="3" customFormat="1" x14ac:dyDescent="0.35">
      <c r="A62" s="6"/>
      <c r="B62" s="47">
        <f t="shared" si="14"/>
        <v>20</v>
      </c>
      <c r="C62" s="82">
        <v>45596</v>
      </c>
      <c r="D62" s="74">
        <f t="shared" si="15"/>
        <v>341890</v>
      </c>
      <c r="E62" s="75">
        <v>0</v>
      </c>
      <c r="F62" s="75">
        <f t="shared" si="16"/>
        <v>683780</v>
      </c>
      <c r="G62" s="48">
        <f t="shared" si="2"/>
        <v>341890</v>
      </c>
      <c r="H62" s="83">
        <f t="shared" si="3"/>
        <v>1.1516172828738285</v>
      </c>
      <c r="I62" s="83">
        <f t="shared" si="17"/>
        <v>0.86834403657483172</v>
      </c>
      <c r="J62" s="48">
        <f t="shared" si="4"/>
        <v>296878.1426645692</v>
      </c>
      <c r="K62" s="84"/>
      <c r="L62" s="49">
        <f t="shared" si="5"/>
        <v>20</v>
      </c>
      <c r="M62" s="78">
        <f t="shared" si="5"/>
        <v>45596</v>
      </c>
      <c r="N62" s="49">
        <f t="shared" si="22"/>
        <v>14836572.980818495</v>
      </c>
      <c r="O62" s="49">
        <f t="shared" si="6"/>
        <v>341890</v>
      </c>
      <c r="P62" s="49">
        <f t="shared" si="7"/>
        <v>105092.39194746435</v>
      </c>
      <c r="Q62" s="49">
        <f t="shared" si="18"/>
        <v>236797.60805253565</v>
      </c>
      <c r="R62" s="49">
        <f t="shared" si="19"/>
        <v>14599775.37276596</v>
      </c>
      <c r="S62" s="84"/>
      <c r="T62" s="85">
        <f t="shared" si="8"/>
        <v>20</v>
      </c>
      <c r="U62" s="86">
        <f t="shared" si="20"/>
        <v>278582.12546542624</v>
      </c>
      <c r="V62" s="48">
        <f t="shared" si="23"/>
        <v>105092.39194746435</v>
      </c>
      <c r="W62" s="48">
        <f t="shared" si="13"/>
        <v>383674.51741289056</v>
      </c>
      <c r="X62" s="11"/>
      <c r="Y62" s="85">
        <f t="shared" si="9"/>
        <v>20</v>
      </c>
      <c r="Z62" s="87">
        <f t="shared" si="10"/>
        <v>45596</v>
      </c>
      <c r="AA62" s="86">
        <f t="shared" si="24"/>
        <v>14486270.524202157</v>
      </c>
      <c r="AB62" s="86">
        <f t="shared" si="11"/>
        <v>278582.12546542624</v>
      </c>
      <c r="AC62" s="86">
        <f t="shared" si="21"/>
        <v>5850224.634773952</v>
      </c>
      <c r="AD62" s="48">
        <f t="shared" si="12"/>
        <v>14207688.39873673</v>
      </c>
      <c r="AE62" s="11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</row>
    <row r="63" spans="1:49" s="3" customFormat="1" x14ac:dyDescent="0.35">
      <c r="A63" s="6"/>
      <c r="B63" s="47">
        <f t="shared" si="14"/>
        <v>21</v>
      </c>
      <c r="C63" s="82">
        <v>45626</v>
      </c>
      <c r="D63" s="74">
        <f t="shared" si="15"/>
        <v>341890</v>
      </c>
      <c r="E63" s="75">
        <v>0</v>
      </c>
      <c r="F63" s="75">
        <f t="shared" si="16"/>
        <v>683780</v>
      </c>
      <c r="G63" s="48">
        <f t="shared" si="2"/>
        <v>341890</v>
      </c>
      <c r="H63" s="83">
        <f t="shared" si="3"/>
        <v>1.1597745719608512</v>
      </c>
      <c r="I63" s="83">
        <f t="shared" si="17"/>
        <v>0.86223652783599358</v>
      </c>
      <c r="J63" s="48">
        <f t="shared" si="4"/>
        <v>294790.04650184786</v>
      </c>
      <c r="K63" s="84"/>
      <c r="L63" s="49">
        <f t="shared" si="5"/>
        <v>21</v>
      </c>
      <c r="M63" s="78">
        <f t="shared" si="5"/>
        <v>45626</v>
      </c>
      <c r="N63" s="49">
        <f t="shared" si="22"/>
        <v>14599775.37276596</v>
      </c>
      <c r="O63" s="49">
        <f t="shared" si="6"/>
        <v>341890</v>
      </c>
      <c r="P63" s="49">
        <f t="shared" si="7"/>
        <v>103415.07555709222</v>
      </c>
      <c r="Q63" s="49">
        <f t="shared" si="18"/>
        <v>238474.9244429078</v>
      </c>
      <c r="R63" s="49">
        <f t="shared" si="19"/>
        <v>14361300.448323052</v>
      </c>
      <c r="S63" s="84"/>
      <c r="T63" s="85">
        <f t="shared" si="8"/>
        <v>21</v>
      </c>
      <c r="U63" s="86">
        <f t="shared" si="20"/>
        <v>278582.12546542624</v>
      </c>
      <c r="V63" s="48">
        <f t="shared" si="23"/>
        <v>103415.07555709222</v>
      </c>
      <c r="W63" s="48">
        <f t="shared" si="13"/>
        <v>381997.20102251845</v>
      </c>
      <c r="X63" s="11"/>
      <c r="Y63" s="85">
        <f t="shared" si="9"/>
        <v>21</v>
      </c>
      <c r="Z63" s="87">
        <f t="shared" si="10"/>
        <v>45626</v>
      </c>
      <c r="AA63" s="86">
        <f t="shared" si="24"/>
        <v>14207688.39873673</v>
      </c>
      <c r="AB63" s="86">
        <f t="shared" si="11"/>
        <v>278582.12546542624</v>
      </c>
      <c r="AC63" s="86">
        <f t="shared" si="21"/>
        <v>6128806.7602393785</v>
      </c>
      <c r="AD63" s="48">
        <f t="shared" si="12"/>
        <v>13929106.273271304</v>
      </c>
      <c r="AE63" s="11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</row>
    <row r="64" spans="1:49" s="3" customFormat="1" x14ac:dyDescent="0.35">
      <c r="A64" s="6"/>
      <c r="B64" s="47">
        <f t="shared" si="14"/>
        <v>22</v>
      </c>
      <c r="C64" s="82">
        <v>45657</v>
      </c>
      <c r="D64" s="74">
        <f t="shared" si="15"/>
        <v>341890</v>
      </c>
      <c r="E64" s="75">
        <v>0</v>
      </c>
      <c r="F64" s="75">
        <f t="shared" si="16"/>
        <v>683780</v>
      </c>
      <c r="G64" s="48">
        <f t="shared" si="2"/>
        <v>341890</v>
      </c>
      <c r="H64" s="83">
        <f t="shared" si="3"/>
        <v>1.1679896418455742</v>
      </c>
      <c r="I64" s="83">
        <f t="shared" si="17"/>
        <v>0.85617197633693998</v>
      </c>
      <c r="J64" s="48">
        <f t="shared" si="4"/>
        <v>292716.63698983641</v>
      </c>
      <c r="K64" s="84"/>
      <c r="L64" s="49">
        <f t="shared" si="5"/>
        <v>22</v>
      </c>
      <c r="M64" s="78">
        <f t="shared" si="5"/>
        <v>45657</v>
      </c>
      <c r="N64" s="49">
        <f t="shared" si="22"/>
        <v>14361300.448323052</v>
      </c>
      <c r="O64" s="49">
        <f t="shared" si="6"/>
        <v>341890</v>
      </c>
      <c r="P64" s="49">
        <f t="shared" si="7"/>
        <v>101725.87817562163</v>
      </c>
      <c r="Q64" s="49">
        <f t="shared" si="18"/>
        <v>240164.12182437838</v>
      </c>
      <c r="R64" s="49">
        <f t="shared" si="19"/>
        <v>14121136.326498674</v>
      </c>
      <c r="S64" s="84"/>
      <c r="T64" s="85">
        <f t="shared" si="8"/>
        <v>22</v>
      </c>
      <c r="U64" s="86">
        <f t="shared" si="20"/>
        <v>278582.12546542624</v>
      </c>
      <c r="V64" s="48">
        <f t="shared" si="23"/>
        <v>101725.87817562163</v>
      </c>
      <c r="W64" s="48">
        <f t="shared" si="13"/>
        <v>380308.00364104786</v>
      </c>
      <c r="X64" s="11"/>
      <c r="Y64" s="85">
        <f t="shared" si="9"/>
        <v>22</v>
      </c>
      <c r="Z64" s="87">
        <f t="shared" si="10"/>
        <v>45657</v>
      </c>
      <c r="AA64" s="86">
        <f t="shared" si="24"/>
        <v>13929106.273271304</v>
      </c>
      <c r="AB64" s="86">
        <f t="shared" si="11"/>
        <v>278582.12546542624</v>
      </c>
      <c r="AC64" s="86">
        <f t="shared" si="21"/>
        <v>6407388.8857048051</v>
      </c>
      <c r="AD64" s="48">
        <f t="shared" si="12"/>
        <v>13650524.147805877</v>
      </c>
      <c r="AE64" s="11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</row>
    <row r="65" spans="1:49" s="3" customFormat="1" x14ac:dyDescent="0.35">
      <c r="A65" s="6"/>
      <c r="B65" s="47">
        <f t="shared" si="14"/>
        <v>23</v>
      </c>
      <c r="C65" s="82">
        <v>45688</v>
      </c>
      <c r="D65" s="74">
        <f t="shared" si="15"/>
        <v>341890</v>
      </c>
      <c r="E65" s="75">
        <v>0</v>
      </c>
      <c r="F65" s="75">
        <f t="shared" si="16"/>
        <v>683780</v>
      </c>
      <c r="G65" s="48">
        <f t="shared" si="2"/>
        <v>341890</v>
      </c>
      <c r="H65" s="83">
        <f t="shared" si="3"/>
        <v>1.1762629018086468</v>
      </c>
      <c r="I65" s="83">
        <f t="shared" si="17"/>
        <v>0.85015007993738367</v>
      </c>
      <c r="J65" s="48">
        <f t="shared" si="4"/>
        <v>290657.81082979211</v>
      </c>
      <c r="K65" s="84"/>
      <c r="L65" s="49">
        <f t="shared" si="5"/>
        <v>23</v>
      </c>
      <c r="M65" s="78">
        <f t="shared" si="5"/>
        <v>45688</v>
      </c>
      <c r="N65" s="49">
        <f t="shared" si="22"/>
        <v>14121136.326498674</v>
      </c>
      <c r="O65" s="49">
        <f t="shared" si="6"/>
        <v>341890</v>
      </c>
      <c r="P65" s="49">
        <f t="shared" si="7"/>
        <v>100024.71564603229</v>
      </c>
      <c r="Q65" s="49">
        <f t="shared" si="18"/>
        <v>241865.2843539677</v>
      </c>
      <c r="R65" s="49">
        <f t="shared" si="19"/>
        <v>13879271.042144706</v>
      </c>
      <c r="S65" s="84"/>
      <c r="T65" s="85">
        <f t="shared" si="8"/>
        <v>23</v>
      </c>
      <c r="U65" s="86">
        <f t="shared" si="20"/>
        <v>278582.12546542624</v>
      </c>
      <c r="V65" s="48">
        <f t="shared" si="23"/>
        <v>100024.71564603229</v>
      </c>
      <c r="W65" s="48">
        <f t="shared" si="13"/>
        <v>378606.84111145855</v>
      </c>
      <c r="X65" s="11"/>
      <c r="Y65" s="85">
        <f t="shared" si="9"/>
        <v>23</v>
      </c>
      <c r="Z65" s="87">
        <f t="shared" si="10"/>
        <v>45688</v>
      </c>
      <c r="AA65" s="86">
        <f t="shared" si="24"/>
        <v>13650524.147805877</v>
      </c>
      <c r="AB65" s="86">
        <f t="shared" si="11"/>
        <v>278582.12546542624</v>
      </c>
      <c r="AC65" s="86">
        <f t="shared" si="21"/>
        <v>6685971.0111702317</v>
      </c>
      <c r="AD65" s="48">
        <f t="shared" si="12"/>
        <v>13371942.02234045</v>
      </c>
      <c r="AE65" s="11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</row>
    <row r="66" spans="1:49" s="3" customFormat="1" x14ac:dyDescent="0.35">
      <c r="A66" s="6"/>
      <c r="B66" s="47">
        <f t="shared" si="14"/>
        <v>24</v>
      </c>
      <c r="C66" s="82">
        <v>45716</v>
      </c>
      <c r="D66" s="74">
        <f t="shared" si="15"/>
        <v>341890</v>
      </c>
      <c r="E66" s="75">
        <v>0</v>
      </c>
      <c r="F66" s="75">
        <f t="shared" si="16"/>
        <v>683780</v>
      </c>
      <c r="G66" s="48">
        <f t="shared" si="2"/>
        <v>341890</v>
      </c>
      <c r="H66" s="83">
        <f t="shared" si="3"/>
        <v>1.1845947640297916</v>
      </c>
      <c r="I66" s="83">
        <f t="shared" si="17"/>
        <v>0.84417053862214342</v>
      </c>
      <c r="J66" s="48">
        <f t="shared" si="4"/>
        <v>288613.46544952464</v>
      </c>
      <c r="K66" s="84"/>
      <c r="L66" s="49">
        <f t="shared" si="5"/>
        <v>24</v>
      </c>
      <c r="M66" s="78">
        <f t="shared" si="5"/>
        <v>45716</v>
      </c>
      <c r="N66" s="49">
        <f t="shared" si="22"/>
        <v>13879271.042144706</v>
      </c>
      <c r="O66" s="49">
        <f t="shared" si="6"/>
        <v>341890</v>
      </c>
      <c r="P66" s="49">
        <f t="shared" si="7"/>
        <v>98311.503215191682</v>
      </c>
      <c r="Q66" s="49">
        <f t="shared" si="18"/>
        <v>243578.49678480832</v>
      </c>
      <c r="R66" s="49">
        <f t="shared" si="19"/>
        <v>13635692.545359898</v>
      </c>
      <c r="S66" s="84"/>
      <c r="T66" s="85">
        <f t="shared" si="8"/>
        <v>24</v>
      </c>
      <c r="U66" s="86">
        <f t="shared" si="20"/>
        <v>278582.12546542624</v>
      </c>
      <c r="V66" s="48">
        <f t="shared" si="23"/>
        <v>98311.503215191682</v>
      </c>
      <c r="W66" s="48">
        <f t="shared" si="13"/>
        <v>376893.6286806179</v>
      </c>
      <c r="X66" s="11"/>
      <c r="Y66" s="85">
        <f t="shared" si="9"/>
        <v>24</v>
      </c>
      <c r="Z66" s="87">
        <f t="shared" si="10"/>
        <v>45716</v>
      </c>
      <c r="AA66" s="86">
        <f t="shared" si="24"/>
        <v>13371942.02234045</v>
      </c>
      <c r="AB66" s="86">
        <f t="shared" si="11"/>
        <v>278582.12546542624</v>
      </c>
      <c r="AC66" s="86">
        <f t="shared" si="21"/>
        <v>6964553.1366356583</v>
      </c>
      <c r="AD66" s="48">
        <f t="shared" si="12"/>
        <v>13093359.896875024</v>
      </c>
      <c r="AE66" s="11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</row>
    <row r="67" spans="1:49" s="3" customFormat="1" x14ac:dyDescent="0.35">
      <c r="A67" s="6"/>
      <c r="B67" s="47">
        <f t="shared" si="14"/>
        <v>25</v>
      </c>
      <c r="C67" s="82">
        <v>45747</v>
      </c>
      <c r="D67" s="74">
        <f t="shared" si="15"/>
        <v>341890</v>
      </c>
      <c r="E67" s="75">
        <v>0</v>
      </c>
      <c r="F67" s="75">
        <f t="shared" si="16"/>
        <v>683780</v>
      </c>
      <c r="G67" s="48">
        <f t="shared" si="2"/>
        <v>341890</v>
      </c>
      <c r="H67" s="83">
        <f t="shared" si="3"/>
        <v>1.1929856436083361</v>
      </c>
      <c r="I67" s="83">
        <f t="shared" si="17"/>
        <v>0.83823305448619934</v>
      </c>
      <c r="J67" s="48">
        <f t="shared" si="4"/>
        <v>286583.49899828667</v>
      </c>
      <c r="K67" s="84"/>
      <c r="L67" s="49">
        <f t="shared" si="5"/>
        <v>25</v>
      </c>
      <c r="M67" s="78">
        <f t="shared" si="5"/>
        <v>45747</v>
      </c>
      <c r="N67" s="49">
        <f t="shared" si="22"/>
        <v>13635692.545359898</v>
      </c>
      <c r="O67" s="49">
        <f t="shared" si="6"/>
        <v>341890</v>
      </c>
      <c r="P67" s="49">
        <f t="shared" si="7"/>
        <v>96586.155529632626</v>
      </c>
      <c r="Q67" s="49">
        <f t="shared" si="18"/>
        <v>245303.84447036736</v>
      </c>
      <c r="R67" s="49">
        <f t="shared" si="19"/>
        <v>13390388.700889532</v>
      </c>
      <c r="S67" s="84"/>
      <c r="T67" s="85">
        <f t="shared" si="8"/>
        <v>25</v>
      </c>
      <c r="U67" s="86">
        <f t="shared" si="20"/>
        <v>278582.12546542624</v>
      </c>
      <c r="V67" s="48">
        <f t="shared" si="23"/>
        <v>96586.155529632626</v>
      </c>
      <c r="W67" s="48">
        <f t="shared" si="13"/>
        <v>375168.28099505889</v>
      </c>
      <c r="X67" s="11"/>
      <c r="Y67" s="85">
        <f t="shared" si="9"/>
        <v>25</v>
      </c>
      <c r="Z67" s="87">
        <f t="shared" si="10"/>
        <v>45747</v>
      </c>
      <c r="AA67" s="86">
        <f t="shared" si="24"/>
        <v>13093359.896875024</v>
      </c>
      <c r="AB67" s="86">
        <f t="shared" si="11"/>
        <v>278582.12546542624</v>
      </c>
      <c r="AC67" s="86">
        <f t="shared" si="21"/>
        <v>7243135.2621010849</v>
      </c>
      <c r="AD67" s="48">
        <f t="shared" si="12"/>
        <v>12814777.771409597</v>
      </c>
      <c r="AE67" s="11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</row>
    <row r="68" spans="1:49" s="3" customFormat="1" x14ac:dyDescent="0.35">
      <c r="A68" s="6"/>
      <c r="B68" s="47">
        <f t="shared" si="14"/>
        <v>26</v>
      </c>
      <c r="C68" s="82">
        <v>45777</v>
      </c>
      <c r="D68" s="74">
        <f t="shared" si="15"/>
        <v>341890</v>
      </c>
      <c r="E68" s="75">
        <v>0</v>
      </c>
      <c r="F68" s="75">
        <f t="shared" si="16"/>
        <v>683780</v>
      </c>
      <c r="G68" s="48">
        <f t="shared" si="2"/>
        <v>341890</v>
      </c>
      <c r="H68" s="83">
        <f t="shared" si="3"/>
        <v>1.201435958583895</v>
      </c>
      <c r="I68" s="83">
        <f t="shared" si="17"/>
        <v>0.83233733171985058</v>
      </c>
      <c r="J68" s="48">
        <f t="shared" si="4"/>
        <v>284567.81034169969</v>
      </c>
      <c r="K68" s="84"/>
      <c r="L68" s="49">
        <f t="shared" si="5"/>
        <v>26</v>
      </c>
      <c r="M68" s="78">
        <f t="shared" si="5"/>
        <v>45777</v>
      </c>
      <c r="N68" s="49">
        <f t="shared" si="22"/>
        <v>13390388.700889532</v>
      </c>
      <c r="O68" s="49">
        <f t="shared" si="6"/>
        <v>341890</v>
      </c>
      <c r="P68" s="49">
        <f t="shared" si="7"/>
        <v>94848.586631300859</v>
      </c>
      <c r="Q68" s="49">
        <f t="shared" si="18"/>
        <v>247041.41336869914</v>
      </c>
      <c r="R68" s="49">
        <f t="shared" si="19"/>
        <v>13143347.287520833</v>
      </c>
      <c r="S68" s="84"/>
      <c r="T68" s="85">
        <f t="shared" si="8"/>
        <v>26</v>
      </c>
      <c r="U68" s="86">
        <f t="shared" si="20"/>
        <v>278582.12546542624</v>
      </c>
      <c r="V68" s="48">
        <f t="shared" si="23"/>
        <v>94848.586631300859</v>
      </c>
      <c r="W68" s="48">
        <f t="shared" si="13"/>
        <v>373430.7120967271</v>
      </c>
      <c r="X68" s="11"/>
      <c r="Y68" s="85">
        <f t="shared" si="9"/>
        <v>26</v>
      </c>
      <c r="Z68" s="87">
        <f t="shared" si="10"/>
        <v>45777</v>
      </c>
      <c r="AA68" s="86">
        <f t="shared" si="24"/>
        <v>12814777.771409597</v>
      </c>
      <c r="AB68" s="86">
        <f t="shared" si="11"/>
        <v>278582.12546542624</v>
      </c>
      <c r="AC68" s="86">
        <f t="shared" si="21"/>
        <v>7521717.3875665115</v>
      </c>
      <c r="AD68" s="48">
        <f t="shared" si="12"/>
        <v>12536195.645944171</v>
      </c>
      <c r="AE68" s="11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</row>
    <row r="69" spans="1:49" s="3" customFormat="1" x14ac:dyDescent="0.35">
      <c r="A69" s="6"/>
      <c r="B69" s="47">
        <f t="shared" si="14"/>
        <v>27</v>
      </c>
      <c r="C69" s="82">
        <v>45808</v>
      </c>
      <c r="D69" s="74">
        <f t="shared" si="15"/>
        <v>341890</v>
      </c>
      <c r="E69" s="75">
        <v>0</v>
      </c>
      <c r="F69" s="75">
        <f t="shared" si="16"/>
        <v>683780</v>
      </c>
      <c r="G69" s="48">
        <f t="shared" si="2"/>
        <v>341890</v>
      </c>
      <c r="H69" s="83">
        <f t="shared" si="3"/>
        <v>1.2099461299571974</v>
      </c>
      <c r="I69" s="83">
        <f t="shared" si="17"/>
        <v>0.82648307659397668</v>
      </c>
      <c r="J69" s="48">
        <f t="shared" si="4"/>
        <v>282566.29905671469</v>
      </c>
      <c r="K69" s="84"/>
      <c r="L69" s="49">
        <f t="shared" si="5"/>
        <v>27</v>
      </c>
      <c r="M69" s="78">
        <f t="shared" si="5"/>
        <v>45808</v>
      </c>
      <c r="N69" s="49">
        <f t="shared" si="22"/>
        <v>13143347.287520833</v>
      </c>
      <c r="O69" s="49">
        <f t="shared" si="6"/>
        <v>341890</v>
      </c>
      <c r="P69" s="49">
        <f t="shared" si="7"/>
        <v>93098.70995327257</v>
      </c>
      <c r="Q69" s="49">
        <f t="shared" si="18"/>
        <v>248791.29004672743</v>
      </c>
      <c r="R69" s="49">
        <f t="shared" si="19"/>
        <v>12894555.997474106</v>
      </c>
      <c r="S69" s="84"/>
      <c r="T69" s="85">
        <f t="shared" si="8"/>
        <v>27</v>
      </c>
      <c r="U69" s="86">
        <f t="shared" si="20"/>
        <v>278582.12546542624</v>
      </c>
      <c r="V69" s="48">
        <f t="shared" si="23"/>
        <v>93098.70995327257</v>
      </c>
      <c r="W69" s="48">
        <f t="shared" si="13"/>
        <v>371680.83541869884</v>
      </c>
      <c r="X69" s="11"/>
      <c r="Y69" s="85">
        <f t="shared" si="9"/>
        <v>27</v>
      </c>
      <c r="Z69" s="87">
        <f t="shared" si="10"/>
        <v>45808</v>
      </c>
      <c r="AA69" s="86">
        <f t="shared" si="24"/>
        <v>12536195.645944171</v>
      </c>
      <c r="AB69" s="86">
        <f t="shared" si="11"/>
        <v>278582.12546542624</v>
      </c>
      <c r="AC69" s="86">
        <f t="shared" si="21"/>
        <v>7800299.5130319381</v>
      </c>
      <c r="AD69" s="48">
        <f t="shared" si="12"/>
        <v>12257613.520478744</v>
      </c>
      <c r="AE69" s="11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</row>
    <row r="70" spans="1:49" s="3" customFormat="1" x14ac:dyDescent="0.35">
      <c r="A70" s="6"/>
      <c r="B70" s="47">
        <f t="shared" si="14"/>
        <v>28</v>
      </c>
      <c r="C70" s="82">
        <v>45838</v>
      </c>
      <c r="D70" s="74">
        <f t="shared" si="15"/>
        <v>341890</v>
      </c>
      <c r="E70" s="75">
        <v>0</v>
      </c>
      <c r="F70" s="75">
        <f t="shared" si="16"/>
        <v>683780</v>
      </c>
      <c r="G70" s="48">
        <f t="shared" si="2"/>
        <v>341890</v>
      </c>
      <c r="H70" s="83">
        <f t="shared" si="3"/>
        <v>1.2185165817110613</v>
      </c>
      <c r="I70" s="83">
        <f t="shared" si="17"/>
        <v>0.82066999744540481</v>
      </c>
      <c r="J70" s="48">
        <f t="shared" si="4"/>
        <v>280578.86542660947</v>
      </c>
      <c r="K70" s="84"/>
      <c r="L70" s="49">
        <f t="shared" si="5"/>
        <v>28</v>
      </c>
      <c r="M70" s="78">
        <f t="shared" si="5"/>
        <v>45838</v>
      </c>
      <c r="N70" s="49">
        <f t="shared" si="22"/>
        <v>12894555.997474106</v>
      </c>
      <c r="O70" s="49">
        <f t="shared" si="6"/>
        <v>341890</v>
      </c>
      <c r="P70" s="49">
        <f t="shared" si="7"/>
        <v>91336.438315441585</v>
      </c>
      <c r="Q70" s="49">
        <f t="shared" si="18"/>
        <v>250553.5616845584</v>
      </c>
      <c r="R70" s="49">
        <f t="shared" si="19"/>
        <v>12644002.435789548</v>
      </c>
      <c r="S70" s="84"/>
      <c r="T70" s="85">
        <f t="shared" si="8"/>
        <v>28</v>
      </c>
      <c r="U70" s="86">
        <f t="shared" si="20"/>
        <v>278582.12546542624</v>
      </c>
      <c r="V70" s="48">
        <f t="shared" si="23"/>
        <v>91336.438315441585</v>
      </c>
      <c r="W70" s="48">
        <f t="shared" si="13"/>
        <v>369918.56378086784</v>
      </c>
      <c r="X70" s="11"/>
      <c r="Y70" s="85">
        <f t="shared" si="9"/>
        <v>28</v>
      </c>
      <c r="Z70" s="87">
        <f t="shared" si="10"/>
        <v>45838</v>
      </c>
      <c r="AA70" s="86">
        <f t="shared" si="24"/>
        <v>12257613.520478744</v>
      </c>
      <c r="AB70" s="86">
        <f t="shared" si="11"/>
        <v>278582.12546542624</v>
      </c>
      <c r="AC70" s="86">
        <f t="shared" si="21"/>
        <v>8078881.6384973647</v>
      </c>
      <c r="AD70" s="48">
        <f t="shared" si="12"/>
        <v>11979031.395013317</v>
      </c>
      <c r="AE70" s="11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</row>
    <row r="71" spans="1:49" s="3" customFormat="1" x14ac:dyDescent="0.35">
      <c r="A71" s="6"/>
      <c r="B71" s="47">
        <f t="shared" si="14"/>
        <v>29</v>
      </c>
      <c r="C71" s="82">
        <v>45869</v>
      </c>
      <c r="D71" s="74">
        <f t="shared" si="15"/>
        <v>341890</v>
      </c>
      <c r="E71" s="75">
        <v>0</v>
      </c>
      <c r="F71" s="75">
        <f t="shared" si="16"/>
        <v>683780</v>
      </c>
      <c r="G71" s="48">
        <f t="shared" si="2"/>
        <v>341890</v>
      </c>
      <c r="H71" s="83">
        <f t="shared" si="3"/>
        <v>1.2271477408315143</v>
      </c>
      <c r="I71" s="83">
        <f t="shared" si="17"/>
        <v>0.81489780466237971</v>
      </c>
      <c r="J71" s="48">
        <f t="shared" si="4"/>
        <v>278605.41043602099</v>
      </c>
      <c r="K71" s="84"/>
      <c r="L71" s="49">
        <f t="shared" si="5"/>
        <v>29</v>
      </c>
      <c r="M71" s="78">
        <f t="shared" si="5"/>
        <v>45869</v>
      </c>
      <c r="N71" s="49">
        <f t="shared" si="22"/>
        <v>12644002.435789548</v>
      </c>
      <c r="O71" s="49">
        <f t="shared" si="6"/>
        <v>341890</v>
      </c>
      <c r="P71" s="49">
        <f t="shared" si="7"/>
        <v>89561.683920175972</v>
      </c>
      <c r="Q71" s="49">
        <f t="shared" si="18"/>
        <v>252328.31607982403</v>
      </c>
      <c r="R71" s="49">
        <f t="shared" si="19"/>
        <v>12391674.119709725</v>
      </c>
      <c r="S71" s="84"/>
      <c r="T71" s="85">
        <f t="shared" si="8"/>
        <v>29</v>
      </c>
      <c r="U71" s="86">
        <f t="shared" si="20"/>
        <v>278582.12546542624</v>
      </c>
      <c r="V71" s="48">
        <f t="shared" si="23"/>
        <v>89561.683920175972</v>
      </c>
      <c r="W71" s="48">
        <f t="shared" si="13"/>
        <v>368143.80938560225</v>
      </c>
      <c r="X71" s="11"/>
      <c r="Y71" s="85">
        <f t="shared" si="9"/>
        <v>29</v>
      </c>
      <c r="Z71" s="87">
        <f t="shared" si="10"/>
        <v>45869</v>
      </c>
      <c r="AA71" s="86">
        <f t="shared" si="24"/>
        <v>11979031.395013317</v>
      </c>
      <c r="AB71" s="86">
        <f t="shared" si="11"/>
        <v>278582.12546542624</v>
      </c>
      <c r="AC71" s="86">
        <f t="shared" si="21"/>
        <v>8357463.7639627913</v>
      </c>
      <c r="AD71" s="48">
        <f t="shared" si="12"/>
        <v>11700449.269547891</v>
      </c>
      <c r="AE71" s="11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</row>
    <row r="72" spans="1:49" s="3" customFormat="1" x14ac:dyDescent="0.35">
      <c r="A72" s="6"/>
      <c r="B72" s="47">
        <f t="shared" si="14"/>
        <v>30</v>
      </c>
      <c r="C72" s="82">
        <v>45900</v>
      </c>
      <c r="D72" s="74">
        <f t="shared" si="15"/>
        <v>341890</v>
      </c>
      <c r="E72" s="75">
        <v>0</v>
      </c>
      <c r="F72" s="75">
        <f t="shared" si="16"/>
        <v>683780</v>
      </c>
      <c r="G72" s="48">
        <f t="shared" si="2"/>
        <v>341890</v>
      </c>
      <c r="H72" s="83">
        <f t="shared" si="3"/>
        <v>1.235840037329071</v>
      </c>
      <c r="I72" s="83">
        <f t="shared" si="17"/>
        <v>0.80916621067013295</v>
      </c>
      <c r="J72" s="48">
        <f t="shared" si="4"/>
        <v>276645.83576601173</v>
      </c>
      <c r="K72" s="84"/>
      <c r="L72" s="49">
        <f t="shared" si="5"/>
        <v>30</v>
      </c>
      <c r="M72" s="78">
        <f t="shared" si="5"/>
        <v>45900</v>
      </c>
      <c r="N72" s="49">
        <f t="shared" si="22"/>
        <v>12391674.119709725</v>
      </c>
      <c r="O72" s="49">
        <f t="shared" si="6"/>
        <v>341890</v>
      </c>
      <c r="P72" s="49">
        <f t="shared" si="7"/>
        <v>87774.358347943882</v>
      </c>
      <c r="Q72" s="49">
        <f t="shared" si="18"/>
        <v>254115.64165205613</v>
      </c>
      <c r="R72" s="49">
        <f t="shared" si="19"/>
        <v>12137558.478057668</v>
      </c>
      <c r="S72" s="84"/>
      <c r="T72" s="85">
        <f t="shared" si="8"/>
        <v>30</v>
      </c>
      <c r="U72" s="86">
        <f t="shared" si="20"/>
        <v>278582.12546542624</v>
      </c>
      <c r="V72" s="48">
        <f t="shared" si="23"/>
        <v>87774.358347943882</v>
      </c>
      <c r="W72" s="48">
        <f t="shared" si="13"/>
        <v>366356.48381337011</v>
      </c>
      <c r="X72" s="11"/>
      <c r="Y72" s="85">
        <f t="shared" si="9"/>
        <v>30</v>
      </c>
      <c r="Z72" s="87">
        <f t="shared" si="10"/>
        <v>45900</v>
      </c>
      <c r="AA72" s="86">
        <f t="shared" si="24"/>
        <v>11700449.269547891</v>
      </c>
      <c r="AB72" s="86">
        <f t="shared" si="11"/>
        <v>278582.12546542624</v>
      </c>
      <c r="AC72" s="86">
        <f t="shared" si="21"/>
        <v>8636045.889428217</v>
      </c>
      <c r="AD72" s="48">
        <f t="shared" si="12"/>
        <v>11421867.144082464</v>
      </c>
      <c r="AE72" s="11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</row>
    <row r="73" spans="1:49" s="3" customFormat="1" x14ac:dyDescent="0.35">
      <c r="A73" s="6"/>
      <c r="B73" s="47">
        <f t="shared" si="14"/>
        <v>31</v>
      </c>
      <c r="C73" s="82">
        <v>45930</v>
      </c>
      <c r="D73" s="74">
        <f t="shared" si="15"/>
        <v>341890</v>
      </c>
      <c r="E73" s="75">
        <v>0</v>
      </c>
      <c r="F73" s="75">
        <f t="shared" si="16"/>
        <v>683780</v>
      </c>
      <c r="G73" s="48">
        <f t="shared" si="2"/>
        <v>341890</v>
      </c>
      <c r="H73" s="83">
        <f t="shared" si="3"/>
        <v>1.2445939042601519</v>
      </c>
      <c r="I73" s="83">
        <f t="shared" si="17"/>
        <v>0.80347492991655733</v>
      </c>
      <c r="J73" s="48">
        <f t="shared" si="4"/>
        <v>274700.04378917179</v>
      </c>
      <c r="K73" s="84"/>
      <c r="L73" s="49">
        <f t="shared" si="5"/>
        <v>31</v>
      </c>
      <c r="M73" s="78">
        <f t="shared" si="5"/>
        <v>45930</v>
      </c>
      <c r="N73" s="49">
        <f t="shared" si="22"/>
        <v>12137558.478057668</v>
      </c>
      <c r="O73" s="49">
        <f t="shared" si="6"/>
        <v>341890</v>
      </c>
      <c r="P73" s="49">
        <f t="shared" si="7"/>
        <v>85974.372552908491</v>
      </c>
      <c r="Q73" s="49">
        <f t="shared" si="18"/>
        <v>255915.62744709151</v>
      </c>
      <c r="R73" s="49">
        <f t="shared" si="19"/>
        <v>11881642.850610577</v>
      </c>
      <c r="S73" s="84"/>
      <c r="T73" s="85">
        <f t="shared" si="8"/>
        <v>31</v>
      </c>
      <c r="U73" s="86">
        <f t="shared" si="20"/>
        <v>278582.12546542624</v>
      </c>
      <c r="V73" s="48">
        <f t="shared" si="23"/>
        <v>85974.372552908491</v>
      </c>
      <c r="W73" s="48">
        <f t="shared" si="13"/>
        <v>364556.49801833474</v>
      </c>
      <c r="X73" s="11"/>
      <c r="Y73" s="85">
        <f t="shared" si="9"/>
        <v>31</v>
      </c>
      <c r="Z73" s="87">
        <f t="shared" si="10"/>
        <v>45930</v>
      </c>
      <c r="AA73" s="86">
        <f t="shared" si="24"/>
        <v>11421867.144082464</v>
      </c>
      <c r="AB73" s="86">
        <f t="shared" si="11"/>
        <v>278582.12546542624</v>
      </c>
      <c r="AC73" s="86">
        <f t="shared" si="21"/>
        <v>8914628.0148936436</v>
      </c>
      <c r="AD73" s="48">
        <f t="shared" si="12"/>
        <v>11143285.018617038</v>
      </c>
      <c r="AE73" s="11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</row>
    <row r="74" spans="1:49" s="3" customFormat="1" x14ac:dyDescent="0.35">
      <c r="A74" s="6"/>
      <c r="B74" s="47">
        <f t="shared" si="14"/>
        <v>32</v>
      </c>
      <c r="C74" s="82">
        <v>45961</v>
      </c>
      <c r="D74" s="74">
        <f t="shared" si="15"/>
        <v>341890</v>
      </c>
      <c r="E74" s="75">
        <v>0</v>
      </c>
      <c r="F74" s="75">
        <f t="shared" si="16"/>
        <v>683780</v>
      </c>
      <c r="G74" s="48">
        <f t="shared" si="2"/>
        <v>341890</v>
      </c>
      <c r="H74" s="83">
        <f t="shared" si="3"/>
        <v>1.2534097777486615</v>
      </c>
      <c r="I74" s="83">
        <f t="shared" si="17"/>
        <v>0.79782367885797989</v>
      </c>
      <c r="J74" s="48">
        <f t="shared" si="4"/>
        <v>272767.93756475474</v>
      </c>
      <c r="K74" s="84"/>
      <c r="L74" s="49">
        <f t="shared" ref="L74:M101" si="25">B74</f>
        <v>32</v>
      </c>
      <c r="M74" s="78">
        <f t="shared" si="25"/>
        <v>45961</v>
      </c>
      <c r="N74" s="49">
        <f t="shared" si="22"/>
        <v>11881642.850610577</v>
      </c>
      <c r="O74" s="49">
        <f t="shared" si="6"/>
        <v>341890</v>
      </c>
      <c r="P74" s="49">
        <f t="shared" si="7"/>
        <v>84161.636858491591</v>
      </c>
      <c r="Q74" s="49">
        <f t="shared" si="18"/>
        <v>257728.36314150842</v>
      </c>
      <c r="R74" s="49">
        <f t="shared" si="19"/>
        <v>11623914.487469068</v>
      </c>
      <c r="S74" s="84"/>
      <c r="T74" s="85">
        <f t="shared" si="8"/>
        <v>32</v>
      </c>
      <c r="U74" s="86">
        <f t="shared" si="20"/>
        <v>278582.12546542624</v>
      </c>
      <c r="V74" s="48">
        <f t="shared" si="23"/>
        <v>84161.636858491591</v>
      </c>
      <c r="W74" s="48">
        <f t="shared" si="13"/>
        <v>362743.76232391782</v>
      </c>
      <c r="X74" s="11"/>
      <c r="Y74" s="85">
        <f t="shared" si="9"/>
        <v>32</v>
      </c>
      <c r="Z74" s="87">
        <f t="shared" si="10"/>
        <v>45961</v>
      </c>
      <c r="AA74" s="86">
        <f t="shared" si="24"/>
        <v>11143285.018617038</v>
      </c>
      <c r="AB74" s="86">
        <f t="shared" si="11"/>
        <v>278582.12546542624</v>
      </c>
      <c r="AC74" s="86">
        <f t="shared" si="21"/>
        <v>9193210.1403590702</v>
      </c>
      <c r="AD74" s="48">
        <f t="shared" si="12"/>
        <v>10864702.893151611</v>
      </c>
      <c r="AE74" s="11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</row>
    <row r="75" spans="1:49" s="3" customFormat="1" x14ac:dyDescent="0.35">
      <c r="A75" s="6"/>
      <c r="B75" s="47">
        <f t="shared" si="14"/>
        <v>33</v>
      </c>
      <c r="C75" s="82">
        <v>45991</v>
      </c>
      <c r="D75" s="74">
        <f t="shared" si="15"/>
        <v>341890</v>
      </c>
      <c r="E75" s="75">
        <v>0</v>
      </c>
      <c r="F75" s="75">
        <f t="shared" si="16"/>
        <v>683780</v>
      </c>
      <c r="G75" s="48">
        <f t="shared" si="2"/>
        <v>341890</v>
      </c>
      <c r="H75" s="83">
        <f t="shared" si="3"/>
        <v>1.2622880970077144</v>
      </c>
      <c r="I75" s="83">
        <f t="shared" si="17"/>
        <v>0.7922121759450359</v>
      </c>
      <c r="J75" s="48">
        <f t="shared" si="4"/>
        <v>270849.4208338483</v>
      </c>
      <c r="K75" s="84"/>
      <c r="L75" s="49">
        <f t="shared" si="25"/>
        <v>33</v>
      </c>
      <c r="M75" s="78">
        <f t="shared" si="25"/>
        <v>45991</v>
      </c>
      <c r="N75" s="49">
        <f t="shared" si="22"/>
        <v>11623914.487469068</v>
      </c>
      <c r="O75" s="49">
        <f t="shared" si="6"/>
        <v>341890</v>
      </c>
      <c r="P75" s="49">
        <f t="shared" si="7"/>
        <v>82336.0609529059</v>
      </c>
      <c r="Q75" s="49">
        <f t="shared" si="18"/>
        <v>259553.93904709409</v>
      </c>
      <c r="R75" s="49">
        <f t="shared" si="19"/>
        <v>11364360.548421973</v>
      </c>
      <c r="S75" s="84"/>
      <c r="T75" s="85">
        <f t="shared" si="8"/>
        <v>33</v>
      </c>
      <c r="U75" s="86">
        <f t="shared" si="20"/>
        <v>278582.12546542624</v>
      </c>
      <c r="V75" s="48">
        <f t="shared" si="23"/>
        <v>82336.0609529059</v>
      </c>
      <c r="W75" s="48">
        <f t="shared" si="13"/>
        <v>360918.18641833216</v>
      </c>
      <c r="X75" s="11"/>
      <c r="Y75" s="85">
        <f t="shared" si="9"/>
        <v>33</v>
      </c>
      <c r="Z75" s="87">
        <f t="shared" si="10"/>
        <v>45991</v>
      </c>
      <c r="AA75" s="86">
        <f t="shared" si="24"/>
        <v>10864702.893151611</v>
      </c>
      <c r="AB75" s="86">
        <f t="shared" si="11"/>
        <v>278582.12546542624</v>
      </c>
      <c r="AC75" s="86">
        <f t="shared" si="21"/>
        <v>9471792.2658244967</v>
      </c>
      <c r="AD75" s="48">
        <f t="shared" si="12"/>
        <v>10586120.767686184</v>
      </c>
      <c r="AE75" s="11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</row>
    <row r="76" spans="1:49" s="3" customFormat="1" x14ac:dyDescent="0.35">
      <c r="A76" s="6"/>
      <c r="B76" s="47">
        <f t="shared" si="14"/>
        <v>34</v>
      </c>
      <c r="C76" s="82">
        <v>46022</v>
      </c>
      <c r="D76" s="74">
        <f t="shared" si="15"/>
        <v>341890</v>
      </c>
      <c r="E76" s="75">
        <v>0</v>
      </c>
      <c r="F76" s="75">
        <f t="shared" si="16"/>
        <v>683780</v>
      </c>
      <c r="G76" s="48">
        <f t="shared" si="2"/>
        <v>341890</v>
      </c>
      <c r="H76" s="83">
        <f t="shared" si="3"/>
        <v>1.2712293043615193</v>
      </c>
      <c r="I76" s="83">
        <f t="shared" si="17"/>
        <v>0.78664014160864126</v>
      </c>
      <c r="J76" s="48">
        <f t="shared" si="4"/>
        <v>268944.39801457839</v>
      </c>
      <c r="K76" s="84"/>
      <c r="L76" s="49">
        <f t="shared" si="25"/>
        <v>34</v>
      </c>
      <c r="M76" s="78">
        <f t="shared" si="25"/>
        <v>46022</v>
      </c>
      <c r="N76" s="49">
        <f>R75</f>
        <v>11364360.548421973</v>
      </c>
      <c r="O76" s="49">
        <f t="shared" si="6"/>
        <v>341890</v>
      </c>
      <c r="P76" s="49">
        <f t="shared" si="7"/>
        <v>80497.553884655645</v>
      </c>
      <c r="Q76" s="49">
        <f t="shared" si="18"/>
        <v>261392.44611534436</v>
      </c>
      <c r="R76" s="49">
        <f t="shared" si="19"/>
        <v>11102968.102306629</v>
      </c>
      <c r="S76" s="84"/>
      <c r="T76" s="85">
        <f t="shared" si="8"/>
        <v>34</v>
      </c>
      <c r="U76" s="86">
        <f t="shared" si="20"/>
        <v>278582.12546542624</v>
      </c>
      <c r="V76" s="48">
        <f t="shared" si="23"/>
        <v>80497.553884655645</v>
      </c>
      <c r="W76" s="48">
        <f t="shared" si="13"/>
        <v>359079.67935008189</v>
      </c>
      <c r="X76" s="11"/>
      <c r="Y76" s="85">
        <f t="shared" si="9"/>
        <v>34</v>
      </c>
      <c r="Z76" s="87">
        <f t="shared" si="10"/>
        <v>46022</v>
      </c>
      <c r="AA76" s="86">
        <f t="shared" si="24"/>
        <v>10586120.767686184</v>
      </c>
      <c r="AB76" s="86">
        <f t="shared" si="11"/>
        <v>278582.12546542624</v>
      </c>
      <c r="AC76" s="86">
        <f t="shared" si="21"/>
        <v>9750374.3912899233</v>
      </c>
      <c r="AD76" s="48">
        <f t="shared" si="12"/>
        <v>10307538.642220758</v>
      </c>
      <c r="AE76" s="11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</row>
    <row r="77" spans="1:49" s="3" customFormat="1" x14ac:dyDescent="0.35">
      <c r="A77" s="6"/>
      <c r="B77" s="47">
        <f t="shared" si="14"/>
        <v>35</v>
      </c>
      <c r="C77" s="82">
        <v>46053</v>
      </c>
      <c r="D77" s="74">
        <f t="shared" si="15"/>
        <v>341890</v>
      </c>
      <c r="E77" s="75">
        <v>0</v>
      </c>
      <c r="F77" s="75">
        <f t="shared" si="16"/>
        <v>683780</v>
      </c>
      <c r="G77" s="48">
        <f t="shared" si="2"/>
        <v>341890</v>
      </c>
      <c r="H77" s="83">
        <f t="shared" si="3"/>
        <v>1.2802338452674131</v>
      </c>
      <c r="I77" s="83">
        <f t="shared" si="17"/>
        <v>0.78110729824606506</v>
      </c>
      <c r="J77" s="48">
        <f t="shared" si="4"/>
        <v>267052.77419734717</v>
      </c>
      <c r="K77" s="84"/>
      <c r="L77" s="49">
        <f t="shared" si="25"/>
        <v>35</v>
      </c>
      <c r="M77" s="78">
        <f t="shared" si="25"/>
        <v>46053</v>
      </c>
      <c r="N77" s="49">
        <f t="shared" si="22"/>
        <v>11102968.102306629</v>
      </c>
      <c r="O77" s="49">
        <f t="shared" si="6"/>
        <v>341890</v>
      </c>
      <c r="P77" s="49">
        <f t="shared" si="7"/>
        <v>78646.024058005292</v>
      </c>
      <c r="Q77" s="49">
        <f t="shared" si="18"/>
        <v>263243.97594199469</v>
      </c>
      <c r="R77" s="49">
        <f t="shared" si="19"/>
        <v>10839724.126364633</v>
      </c>
      <c r="S77" s="84"/>
      <c r="T77" s="85">
        <f t="shared" si="8"/>
        <v>35</v>
      </c>
      <c r="U77" s="86">
        <f t="shared" si="20"/>
        <v>278582.12546542624</v>
      </c>
      <c r="V77" s="48">
        <f t="shared" si="23"/>
        <v>78646.024058005292</v>
      </c>
      <c r="W77" s="48">
        <f>U77+V77</f>
        <v>357228.14952343155</v>
      </c>
      <c r="X77" s="11"/>
      <c r="Y77" s="85">
        <f t="shared" si="9"/>
        <v>35</v>
      </c>
      <c r="Z77" s="87">
        <f t="shared" si="10"/>
        <v>46053</v>
      </c>
      <c r="AA77" s="86">
        <f t="shared" si="24"/>
        <v>10307538.642220758</v>
      </c>
      <c r="AB77" s="86">
        <f t="shared" si="11"/>
        <v>278582.12546542624</v>
      </c>
      <c r="AC77" s="86">
        <f t="shared" si="21"/>
        <v>10028956.51675535</v>
      </c>
      <c r="AD77" s="48">
        <f t="shared" si="12"/>
        <v>10028956.516755331</v>
      </c>
      <c r="AE77" s="11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</row>
    <row r="78" spans="1:49" s="3" customFormat="1" x14ac:dyDescent="0.35">
      <c r="A78" s="6"/>
      <c r="B78" s="47">
        <f t="shared" si="14"/>
        <v>36</v>
      </c>
      <c r="C78" s="82">
        <v>46081</v>
      </c>
      <c r="D78" s="74">
        <v>358984.5</v>
      </c>
      <c r="E78" s="75">
        <v>0</v>
      </c>
      <c r="F78" s="75">
        <f t="shared" si="16"/>
        <v>683780</v>
      </c>
      <c r="G78" s="48">
        <f t="shared" si="2"/>
        <v>358984.5</v>
      </c>
      <c r="H78" s="83">
        <f t="shared" si="3"/>
        <v>1.2893021683380574</v>
      </c>
      <c r="I78" s="83">
        <f t="shared" si="17"/>
        <v>0.77561337020709809</v>
      </c>
      <c r="J78" s="48">
        <f t="shared" si="4"/>
        <v>278433.17789711</v>
      </c>
      <c r="K78" s="84"/>
      <c r="L78" s="49">
        <f t="shared" si="25"/>
        <v>36</v>
      </c>
      <c r="M78" s="78">
        <f t="shared" si="25"/>
        <v>46081</v>
      </c>
      <c r="N78" s="49">
        <f t="shared" si="22"/>
        <v>10839724.126364633</v>
      </c>
      <c r="O78" s="49">
        <f t="shared" si="6"/>
        <v>358984.5</v>
      </c>
      <c r="P78" s="49">
        <f t="shared" si="7"/>
        <v>76781.379228416161</v>
      </c>
      <c r="Q78" s="49">
        <f t="shared" si="18"/>
        <v>282203.12077158387</v>
      </c>
      <c r="R78" s="49">
        <f t="shared" si="19"/>
        <v>10557521.00559305</v>
      </c>
      <c r="S78" s="84"/>
      <c r="T78" s="85">
        <f t="shared" si="8"/>
        <v>36</v>
      </c>
      <c r="U78" s="86">
        <f t="shared" si="20"/>
        <v>278582.12546542624</v>
      </c>
      <c r="V78" s="48">
        <f t="shared" si="23"/>
        <v>76781.379228416161</v>
      </c>
      <c r="W78" s="48">
        <f t="shared" ref="W78:W113" si="26">U78+V78</f>
        <v>355363.50469384238</v>
      </c>
      <c r="X78" s="11"/>
      <c r="Y78" s="85">
        <f t="shared" si="9"/>
        <v>36</v>
      </c>
      <c r="Z78" s="87">
        <f t="shared" si="10"/>
        <v>46081</v>
      </c>
      <c r="AA78" s="86">
        <f t="shared" si="24"/>
        <v>10028956.516755331</v>
      </c>
      <c r="AB78" s="86">
        <f t="shared" si="11"/>
        <v>278582.12546542624</v>
      </c>
      <c r="AC78" s="86">
        <f t="shared" si="21"/>
        <v>10307538.642220777</v>
      </c>
      <c r="AD78" s="48">
        <f t="shared" si="12"/>
        <v>9750374.3912899047</v>
      </c>
      <c r="AE78" s="11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</row>
    <row r="79" spans="1:49" s="3" customFormat="1" x14ac:dyDescent="0.35">
      <c r="A79" s="6"/>
      <c r="B79" s="47">
        <f t="shared" si="14"/>
        <v>37</v>
      </c>
      <c r="C79" s="82">
        <v>46112</v>
      </c>
      <c r="D79" s="74">
        <f t="shared" si="15"/>
        <v>358984.5</v>
      </c>
      <c r="E79" s="75">
        <v>0</v>
      </c>
      <c r="F79" s="75">
        <f t="shared" si="16"/>
        <v>683780</v>
      </c>
      <c r="G79" s="48">
        <f t="shared" si="2"/>
        <v>358984.5</v>
      </c>
      <c r="H79" s="83">
        <f t="shared" si="3"/>
        <v>1.2984347253637853</v>
      </c>
      <c r="I79" s="83">
        <f t="shared" si="17"/>
        <v>0.7701580837803208</v>
      </c>
      <c r="J79" s="48">
        <f t="shared" si="4"/>
        <v>276474.81462683657</v>
      </c>
      <c r="K79" s="11"/>
      <c r="L79" s="49">
        <f t="shared" si="25"/>
        <v>37</v>
      </c>
      <c r="M79" s="78">
        <f t="shared" si="25"/>
        <v>46112</v>
      </c>
      <c r="N79" s="49">
        <f t="shared" si="22"/>
        <v>10557521.00559305</v>
      </c>
      <c r="O79" s="49">
        <f t="shared" si="6"/>
        <v>358984.5</v>
      </c>
      <c r="P79" s="49">
        <f t="shared" si="7"/>
        <v>74782.440456284108</v>
      </c>
      <c r="Q79" s="49">
        <f t="shared" si="18"/>
        <v>284202.05954371591</v>
      </c>
      <c r="R79" s="49">
        <f t="shared" si="19"/>
        <v>10273318.946049334</v>
      </c>
      <c r="S79" s="11"/>
      <c r="T79" s="85">
        <f t="shared" si="8"/>
        <v>37</v>
      </c>
      <c r="U79" s="86">
        <f t="shared" si="20"/>
        <v>278582.12546542624</v>
      </c>
      <c r="V79" s="48">
        <f t="shared" si="23"/>
        <v>74782.440456284108</v>
      </c>
      <c r="W79" s="48">
        <f t="shared" si="26"/>
        <v>353364.56592171034</v>
      </c>
      <c r="X79" s="11"/>
      <c r="Y79" s="85">
        <f t="shared" si="9"/>
        <v>37</v>
      </c>
      <c r="Z79" s="87">
        <f t="shared" si="10"/>
        <v>46112</v>
      </c>
      <c r="AA79" s="86">
        <f t="shared" si="24"/>
        <v>9750374.3912899047</v>
      </c>
      <c r="AB79" s="86">
        <f t="shared" si="11"/>
        <v>278582.12546542624</v>
      </c>
      <c r="AC79" s="86">
        <f t="shared" si="21"/>
        <v>10586120.767686203</v>
      </c>
      <c r="AD79" s="48">
        <f t="shared" si="12"/>
        <v>9471792.2658244781</v>
      </c>
      <c r="AE79" s="11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</row>
    <row r="80" spans="1:49" s="3" customFormat="1" x14ac:dyDescent="0.35">
      <c r="A80" s="6"/>
      <c r="B80" s="47">
        <f t="shared" si="14"/>
        <v>38</v>
      </c>
      <c r="C80" s="82">
        <v>46142</v>
      </c>
      <c r="D80" s="74">
        <f t="shared" si="15"/>
        <v>358984.5</v>
      </c>
      <c r="E80" s="75">
        <v>0</v>
      </c>
      <c r="F80" s="75">
        <f t="shared" si="16"/>
        <v>683780</v>
      </c>
      <c r="G80" s="48">
        <f t="shared" si="2"/>
        <v>358984.5</v>
      </c>
      <c r="H80" s="83">
        <f t="shared" si="3"/>
        <v>1.3076319713351123</v>
      </c>
      <c r="I80" s="83">
        <f t="shared" si="17"/>
        <v>0.76474116717946616</v>
      </c>
      <c r="J80" s="48">
        <f t="shared" si="4"/>
        <v>274530.22552933707</v>
      </c>
      <c r="K80" s="11"/>
      <c r="L80" s="49">
        <f t="shared" si="25"/>
        <v>38</v>
      </c>
      <c r="M80" s="78">
        <f t="shared" si="25"/>
        <v>46142</v>
      </c>
      <c r="N80" s="49">
        <f t="shared" si="22"/>
        <v>10273318.946049334</v>
      </c>
      <c r="O80" s="49">
        <f t="shared" si="6"/>
        <v>358984.5</v>
      </c>
      <c r="P80" s="49">
        <f t="shared" si="7"/>
        <v>72769.342534516123</v>
      </c>
      <c r="Q80" s="49">
        <f t="shared" si="18"/>
        <v>286215.15746548388</v>
      </c>
      <c r="R80" s="49">
        <f t="shared" si="19"/>
        <v>9987103.7885838505</v>
      </c>
      <c r="S80" s="11"/>
      <c r="T80" s="85">
        <f t="shared" si="8"/>
        <v>38</v>
      </c>
      <c r="U80" s="86">
        <f t="shared" si="20"/>
        <v>278582.12546542624</v>
      </c>
      <c r="V80" s="48">
        <f t="shared" si="23"/>
        <v>72769.342534516123</v>
      </c>
      <c r="W80" s="48">
        <f t="shared" si="26"/>
        <v>351351.46799994237</v>
      </c>
      <c r="X80" s="11"/>
      <c r="Y80" s="85">
        <f t="shared" si="9"/>
        <v>38</v>
      </c>
      <c r="Z80" s="87">
        <f t="shared" si="10"/>
        <v>46142</v>
      </c>
      <c r="AA80" s="86">
        <f t="shared" si="24"/>
        <v>9471792.2658244781</v>
      </c>
      <c r="AB80" s="86">
        <f t="shared" si="11"/>
        <v>278582.12546542624</v>
      </c>
      <c r="AC80" s="86">
        <f t="shared" si="21"/>
        <v>10864702.89315163</v>
      </c>
      <c r="AD80" s="48">
        <f t="shared" si="12"/>
        <v>9193210.1403590515</v>
      </c>
      <c r="AE80" s="11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</row>
    <row r="81" spans="1:49" s="3" customFormat="1" x14ac:dyDescent="0.35">
      <c r="A81" s="6"/>
      <c r="B81" s="47">
        <f t="shared" si="14"/>
        <v>39</v>
      </c>
      <c r="C81" s="82">
        <v>46173</v>
      </c>
      <c r="D81" s="74">
        <f t="shared" si="15"/>
        <v>358984.5</v>
      </c>
      <c r="E81" s="75">
        <v>0</v>
      </c>
      <c r="F81" s="75">
        <f t="shared" si="16"/>
        <v>683780</v>
      </c>
      <c r="G81" s="48">
        <f t="shared" si="2"/>
        <v>358984.5</v>
      </c>
      <c r="H81" s="83">
        <f t="shared" si="3"/>
        <v>1.3168943644654023</v>
      </c>
      <c r="I81" s="83">
        <f t="shared" si="17"/>
        <v>0.75936235052987966</v>
      </c>
      <c r="J81" s="48">
        <f t="shared" si="4"/>
        <v>272599.3137237936</v>
      </c>
      <c r="K81" s="11"/>
      <c r="L81" s="49">
        <f t="shared" si="25"/>
        <v>39</v>
      </c>
      <c r="M81" s="78">
        <f t="shared" si="25"/>
        <v>46173</v>
      </c>
      <c r="N81" s="49">
        <f t="shared" si="22"/>
        <v>9987103.7885838505</v>
      </c>
      <c r="O81" s="49">
        <f t="shared" si="6"/>
        <v>358984.5</v>
      </c>
      <c r="P81" s="49">
        <f t="shared" si="7"/>
        <v>70741.985169135616</v>
      </c>
      <c r="Q81" s="49">
        <f t="shared" si="18"/>
        <v>288242.51483086438</v>
      </c>
      <c r="R81" s="49">
        <f t="shared" si="19"/>
        <v>9698861.2737529855</v>
      </c>
      <c r="S81" s="11"/>
      <c r="T81" s="85">
        <f t="shared" si="8"/>
        <v>39</v>
      </c>
      <c r="U81" s="86">
        <f t="shared" si="20"/>
        <v>278582.12546542624</v>
      </c>
      <c r="V81" s="48">
        <f t="shared" si="23"/>
        <v>70741.985169135616</v>
      </c>
      <c r="W81" s="48">
        <f t="shared" si="26"/>
        <v>349324.11063456186</v>
      </c>
      <c r="X81" s="11"/>
      <c r="Y81" s="85">
        <f t="shared" si="9"/>
        <v>39</v>
      </c>
      <c r="Z81" s="87">
        <f t="shared" si="10"/>
        <v>46173</v>
      </c>
      <c r="AA81" s="86">
        <f t="shared" si="24"/>
        <v>9193210.1403590515</v>
      </c>
      <c r="AB81" s="86">
        <f t="shared" si="11"/>
        <v>278582.12546542624</v>
      </c>
      <c r="AC81" s="86">
        <f t="shared" si="21"/>
        <v>11143285.018617056</v>
      </c>
      <c r="AD81" s="48">
        <f t="shared" si="12"/>
        <v>8914628.0148936249</v>
      </c>
      <c r="AE81" s="11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</row>
    <row r="82" spans="1:49" s="3" customFormat="1" x14ac:dyDescent="0.35">
      <c r="A82" s="6"/>
      <c r="B82" s="47">
        <f t="shared" si="14"/>
        <v>40</v>
      </c>
      <c r="C82" s="82">
        <v>46203</v>
      </c>
      <c r="D82" s="74">
        <f t="shared" si="15"/>
        <v>358984.5</v>
      </c>
      <c r="E82" s="75">
        <v>0</v>
      </c>
      <c r="F82" s="75">
        <f t="shared" si="16"/>
        <v>683780</v>
      </c>
      <c r="G82" s="48">
        <f t="shared" si="2"/>
        <v>358984.5</v>
      </c>
      <c r="H82" s="83">
        <f t="shared" si="3"/>
        <v>1.3262223662136994</v>
      </c>
      <c r="I82" s="83">
        <f t="shared" si="17"/>
        <v>0.75402136585507273</v>
      </c>
      <c r="J82" s="48">
        <f t="shared" si="4"/>
        <v>270681.98301080038</v>
      </c>
      <c r="K82" s="11"/>
      <c r="L82" s="49">
        <f t="shared" si="25"/>
        <v>40</v>
      </c>
      <c r="M82" s="78">
        <f t="shared" si="25"/>
        <v>46203</v>
      </c>
      <c r="N82" s="49">
        <f t="shared" si="22"/>
        <v>9698861.2737529855</v>
      </c>
      <c r="O82" s="49">
        <f t="shared" si="6"/>
        <v>358984.5</v>
      </c>
      <c r="P82" s="49">
        <f t="shared" si="7"/>
        <v>68700.267355750315</v>
      </c>
      <c r="Q82" s="49">
        <f t="shared" si="18"/>
        <v>290284.23264424969</v>
      </c>
      <c r="R82" s="49">
        <f t="shared" si="19"/>
        <v>9408577.0411087349</v>
      </c>
      <c r="S82" s="11"/>
      <c r="T82" s="85">
        <f t="shared" si="8"/>
        <v>40</v>
      </c>
      <c r="U82" s="86">
        <f t="shared" si="20"/>
        <v>278582.12546542624</v>
      </c>
      <c r="V82" s="48">
        <f t="shared" si="23"/>
        <v>68700.267355750315</v>
      </c>
      <c r="W82" s="48">
        <f t="shared" si="26"/>
        <v>347282.39282117656</v>
      </c>
      <c r="X82" s="11"/>
      <c r="Y82" s="85">
        <f t="shared" si="9"/>
        <v>40</v>
      </c>
      <c r="Z82" s="87">
        <f t="shared" si="10"/>
        <v>46203</v>
      </c>
      <c r="AA82" s="86">
        <f t="shared" si="24"/>
        <v>8914628.0148936249</v>
      </c>
      <c r="AB82" s="86">
        <f t="shared" si="11"/>
        <v>278582.12546542624</v>
      </c>
      <c r="AC82" s="86">
        <f t="shared" si="21"/>
        <v>11421867.144082483</v>
      </c>
      <c r="AD82" s="48">
        <f t="shared" si="12"/>
        <v>8636045.8894281983</v>
      </c>
      <c r="AE82" s="11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</row>
    <row r="83" spans="1:49" s="3" customFormat="1" x14ac:dyDescent="0.35">
      <c r="A83" s="6"/>
      <c r="B83" s="47">
        <f t="shared" si="14"/>
        <v>41</v>
      </c>
      <c r="C83" s="82">
        <v>46234</v>
      </c>
      <c r="D83" s="74">
        <f t="shared" si="15"/>
        <v>358984.5</v>
      </c>
      <c r="E83" s="75">
        <v>0</v>
      </c>
      <c r="F83" s="75">
        <f t="shared" si="16"/>
        <v>683780</v>
      </c>
      <c r="G83" s="48">
        <f t="shared" si="2"/>
        <v>358984.5</v>
      </c>
      <c r="H83" s="83">
        <f t="shared" si="3"/>
        <v>1.3356164413077132</v>
      </c>
      <c r="I83" s="83">
        <f t="shared" si="17"/>
        <v>0.74871794706337369</v>
      </c>
      <c r="J83" s="48">
        <f t="shared" si="4"/>
        <v>268778.13786757167</v>
      </c>
      <c r="K83" s="11"/>
      <c r="L83" s="49">
        <f t="shared" si="25"/>
        <v>41</v>
      </c>
      <c r="M83" s="78">
        <f t="shared" si="25"/>
        <v>46234</v>
      </c>
      <c r="N83" s="49">
        <f t="shared" si="22"/>
        <v>9408577.0411087349</v>
      </c>
      <c r="O83" s="49">
        <f t="shared" si="6"/>
        <v>358984.5</v>
      </c>
      <c r="P83" s="49">
        <f t="shared" si="7"/>
        <v>66644.087374520212</v>
      </c>
      <c r="Q83" s="49">
        <f t="shared" si="18"/>
        <v>292340.4126254798</v>
      </c>
      <c r="R83" s="49">
        <f t="shared" si="19"/>
        <v>9116236.6284832545</v>
      </c>
      <c r="S83" s="11"/>
      <c r="T83" s="85">
        <f t="shared" si="8"/>
        <v>41</v>
      </c>
      <c r="U83" s="86">
        <f t="shared" si="20"/>
        <v>278582.12546542624</v>
      </c>
      <c r="V83" s="48">
        <f t="shared" si="23"/>
        <v>66644.087374520212</v>
      </c>
      <c r="W83" s="48">
        <f t="shared" si="26"/>
        <v>345226.21283994644</v>
      </c>
      <c r="X83" s="11"/>
      <c r="Y83" s="85">
        <f t="shared" si="9"/>
        <v>41</v>
      </c>
      <c r="Z83" s="87">
        <f t="shared" si="10"/>
        <v>46234</v>
      </c>
      <c r="AA83" s="86">
        <f t="shared" si="24"/>
        <v>8636045.8894281983</v>
      </c>
      <c r="AB83" s="86">
        <f t="shared" si="11"/>
        <v>278582.12546542624</v>
      </c>
      <c r="AC83" s="86">
        <f t="shared" si="21"/>
        <v>11700449.269547909</v>
      </c>
      <c r="AD83" s="48">
        <f t="shared" si="12"/>
        <v>8357463.7639627717</v>
      </c>
      <c r="AE83" s="11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</row>
    <row r="84" spans="1:49" s="3" customFormat="1" x14ac:dyDescent="0.35">
      <c r="A84" s="6"/>
      <c r="B84" s="47">
        <f t="shared" si="14"/>
        <v>42</v>
      </c>
      <c r="C84" s="82">
        <v>46265</v>
      </c>
      <c r="D84" s="74">
        <f t="shared" si="15"/>
        <v>358984.5</v>
      </c>
      <c r="E84" s="75">
        <v>0</v>
      </c>
      <c r="F84" s="75">
        <f t="shared" si="16"/>
        <v>683780</v>
      </c>
      <c r="G84" s="48">
        <f t="shared" si="2"/>
        <v>358984.5</v>
      </c>
      <c r="H84" s="83">
        <f t="shared" si="3"/>
        <v>1.3450770577669759</v>
      </c>
      <c r="I84" s="83">
        <f t="shared" si="17"/>
        <v>0.74345182993466996</v>
      </c>
      <c r="J84" s="48">
        <f t="shared" si="4"/>
        <v>266887.68344318256</v>
      </c>
      <c r="K84" s="11"/>
      <c r="L84" s="49">
        <f t="shared" si="25"/>
        <v>42</v>
      </c>
      <c r="M84" s="78">
        <f t="shared" si="25"/>
        <v>46265</v>
      </c>
      <c r="N84" s="49">
        <f t="shared" si="22"/>
        <v>9116236.6284832545</v>
      </c>
      <c r="O84" s="49">
        <f t="shared" si="6"/>
        <v>358984.5</v>
      </c>
      <c r="P84" s="49">
        <f t="shared" si="7"/>
        <v>64573.342785089721</v>
      </c>
      <c r="Q84" s="49">
        <f t="shared" si="18"/>
        <v>294411.15721491026</v>
      </c>
      <c r="R84" s="49">
        <f t="shared" si="19"/>
        <v>8821825.4712683447</v>
      </c>
      <c r="S84" s="11"/>
      <c r="T84" s="85">
        <f t="shared" si="8"/>
        <v>42</v>
      </c>
      <c r="U84" s="86">
        <f t="shared" si="20"/>
        <v>278582.12546542624</v>
      </c>
      <c r="V84" s="48">
        <f t="shared" si="23"/>
        <v>64573.342785089721</v>
      </c>
      <c r="W84" s="48">
        <f t="shared" si="26"/>
        <v>343155.46825051599</v>
      </c>
      <c r="X84" s="11"/>
      <c r="Y84" s="85">
        <f t="shared" si="9"/>
        <v>42</v>
      </c>
      <c r="Z84" s="87">
        <f t="shared" si="10"/>
        <v>46265</v>
      </c>
      <c r="AA84" s="86">
        <f t="shared" si="24"/>
        <v>8357463.7639627717</v>
      </c>
      <c r="AB84" s="86">
        <f t="shared" si="11"/>
        <v>278582.12546542624</v>
      </c>
      <c r="AC84" s="86">
        <f t="shared" si="21"/>
        <v>11979031.395013336</v>
      </c>
      <c r="AD84" s="48">
        <f t="shared" si="12"/>
        <v>8078881.6384973451</v>
      </c>
      <c r="AE84" s="11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</row>
    <row r="85" spans="1:49" s="3" customFormat="1" x14ac:dyDescent="0.35">
      <c r="A85" s="6"/>
      <c r="B85" s="47">
        <f t="shared" si="14"/>
        <v>43</v>
      </c>
      <c r="C85" s="82">
        <v>46295</v>
      </c>
      <c r="D85" s="74">
        <f t="shared" si="15"/>
        <v>358984.5</v>
      </c>
      <c r="E85" s="75">
        <v>0</v>
      </c>
      <c r="F85" s="75">
        <f t="shared" si="16"/>
        <v>683780</v>
      </c>
      <c r="G85" s="48">
        <f t="shared" si="2"/>
        <v>358984.5</v>
      </c>
      <c r="H85" s="83">
        <f t="shared" si="3"/>
        <v>1.3546046869261588</v>
      </c>
      <c r="I85" s="83">
        <f t="shared" si="17"/>
        <v>0.73822275210724353</v>
      </c>
      <c r="J85" s="48">
        <f t="shared" si="4"/>
        <v>265010.52555384277</v>
      </c>
      <c r="K85" s="11"/>
      <c r="L85" s="49">
        <f t="shared" si="25"/>
        <v>43</v>
      </c>
      <c r="M85" s="78">
        <f t="shared" si="25"/>
        <v>46295</v>
      </c>
      <c r="N85" s="49">
        <f t="shared" si="22"/>
        <v>8821825.4712683447</v>
      </c>
      <c r="O85" s="49">
        <f t="shared" si="6"/>
        <v>358984.5</v>
      </c>
      <c r="P85" s="49">
        <f t="shared" si="7"/>
        <v>62487.93042148411</v>
      </c>
      <c r="Q85" s="49">
        <f t="shared" si="18"/>
        <v>296496.56957851589</v>
      </c>
      <c r="R85" s="49">
        <f t="shared" si="19"/>
        <v>8525328.9016898293</v>
      </c>
      <c r="S85" s="11"/>
      <c r="T85" s="85">
        <f t="shared" si="8"/>
        <v>43</v>
      </c>
      <c r="U85" s="86">
        <f t="shared" si="20"/>
        <v>278582.12546542624</v>
      </c>
      <c r="V85" s="48">
        <f t="shared" si="23"/>
        <v>62487.93042148411</v>
      </c>
      <c r="W85" s="48">
        <f t="shared" si="26"/>
        <v>341070.05588691036</v>
      </c>
      <c r="X85" s="11"/>
      <c r="Y85" s="85">
        <f t="shared" si="9"/>
        <v>43</v>
      </c>
      <c r="Z85" s="87">
        <f t="shared" si="10"/>
        <v>46295</v>
      </c>
      <c r="AA85" s="86">
        <f t="shared" si="24"/>
        <v>8078881.6384973451</v>
      </c>
      <c r="AB85" s="86">
        <f t="shared" si="11"/>
        <v>278582.12546542624</v>
      </c>
      <c r="AC85" s="86">
        <f t="shared" si="21"/>
        <v>12257613.520478763</v>
      </c>
      <c r="AD85" s="48">
        <f t="shared" si="12"/>
        <v>7800299.5130319186</v>
      </c>
      <c r="AE85" s="11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</row>
    <row r="86" spans="1:49" s="3" customFormat="1" x14ac:dyDescent="0.35">
      <c r="A86" s="6"/>
      <c r="B86" s="47">
        <f t="shared" si="14"/>
        <v>44</v>
      </c>
      <c r="C86" s="82">
        <v>46326</v>
      </c>
      <c r="D86" s="74">
        <f t="shared" si="15"/>
        <v>358984.5</v>
      </c>
      <c r="E86" s="75">
        <v>0</v>
      </c>
      <c r="F86" s="75">
        <f t="shared" si="16"/>
        <v>683780</v>
      </c>
      <c r="G86" s="48">
        <f t="shared" si="2"/>
        <v>358984.5</v>
      </c>
      <c r="H86" s="83">
        <f t="shared" si="3"/>
        <v>1.3641998034585527</v>
      </c>
      <c r="I86" s="83">
        <f t="shared" si="17"/>
        <v>0.73303045306470171</v>
      </c>
      <c r="J86" s="48">
        <f t="shared" si="4"/>
        <v>263146.5706782054</v>
      </c>
      <c r="K86" s="11"/>
      <c r="L86" s="49">
        <f t="shared" si="25"/>
        <v>44</v>
      </c>
      <c r="M86" s="78">
        <f t="shared" si="25"/>
        <v>46326</v>
      </c>
      <c r="N86" s="49">
        <f t="shared" si="22"/>
        <v>8525328.9016898293</v>
      </c>
      <c r="O86" s="49">
        <f t="shared" si="6"/>
        <v>358984.5</v>
      </c>
      <c r="P86" s="49">
        <f t="shared" si="7"/>
        <v>60387.746386969629</v>
      </c>
      <c r="Q86" s="49">
        <f t="shared" si="18"/>
        <v>298596.75361303036</v>
      </c>
      <c r="R86" s="49">
        <f t="shared" si="19"/>
        <v>8226732.1480767988</v>
      </c>
      <c r="S86" s="11"/>
      <c r="T86" s="85">
        <f t="shared" si="8"/>
        <v>44</v>
      </c>
      <c r="U86" s="86">
        <f t="shared" si="20"/>
        <v>278582.12546542624</v>
      </c>
      <c r="V86" s="48">
        <f t="shared" si="23"/>
        <v>60387.746386969629</v>
      </c>
      <c r="W86" s="48">
        <f t="shared" si="26"/>
        <v>338969.87185239588</v>
      </c>
      <c r="X86" s="11"/>
      <c r="Y86" s="85">
        <f t="shared" si="9"/>
        <v>44</v>
      </c>
      <c r="Z86" s="87">
        <f t="shared" si="10"/>
        <v>46326</v>
      </c>
      <c r="AA86" s="86">
        <f t="shared" si="24"/>
        <v>7800299.5130319186</v>
      </c>
      <c r="AB86" s="86">
        <f t="shared" si="11"/>
        <v>278582.12546542624</v>
      </c>
      <c r="AC86" s="86">
        <f t="shared" si="21"/>
        <v>12536195.645944189</v>
      </c>
      <c r="AD86" s="48">
        <f t="shared" si="12"/>
        <v>7521717.387566492</v>
      </c>
      <c r="AE86" s="11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</row>
    <row r="87" spans="1:49" s="3" customFormat="1" x14ac:dyDescent="0.35">
      <c r="A87" s="6"/>
      <c r="B87" s="47">
        <f t="shared" si="14"/>
        <v>45</v>
      </c>
      <c r="C87" s="82">
        <v>46356</v>
      </c>
      <c r="D87" s="74">
        <f t="shared" si="15"/>
        <v>358984.5</v>
      </c>
      <c r="E87" s="75">
        <v>0</v>
      </c>
      <c r="F87" s="75">
        <f t="shared" si="16"/>
        <v>683780</v>
      </c>
      <c r="G87" s="48">
        <f t="shared" si="2"/>
        <v>358984.5</v>
      </c>
      <c r="H87" s="83">
        <f t="shared" si="3"/>
        <v>1.3738628853997172</v>
      </c>
      <c r="I87" s="83">
        <f t="shared" si="17"/>
        <v>0.72787467412299733</v>
      </c>
      <c r="J87" s="48">
        <f t="shared" si="4"/>
        <v>261295.72595270714</v>
      </c>
      <c r="K87" s="11"/>
      <c r="L87" s="49">
        <f t="shared" si="25"/>
        <v>45</v>
      </c>
      <c r="M87" s="78">
        <f t="shared" si="25"/>
        <v>46356</v>
      </c>
      <c r="N87" s="49">
        <f t="shared" si="22"/>
        <v>8226732.1480767988</v>
      </c>
      <c r="O87" s="49">
        <f t="shared" si="6"/>
        <v>358984.5</v>
      </c>
      <c r="P87" s="49">
        <f t="shared" si="7"/>
        <v>58272.686048877331</v>
      </c>
      <c r="Q87" s="49">
        <f t="shared" si="18"/>
        <v>300711.81395112269</v>
      </c>
      <c r="R87" s="49">
        <f t="shared" si="19"/>
        <v>7926020.3341256762</v>
      </c>
      <c r="S87" s="11"/>
      <c r="T87" s="85">
        <f t="shared" si="8"/>
        <v>45</v>
      </c>
      <c r="U87" s="86">
        <f t="shared" si="20"/>
        <v>278582.12546542624</v>
      </c>
      <c r="V87" s="48">
        <f t="shared" si="23"/>
        <v>58272.686048877331</v>
      </c>
      <c r="W87" s="48">
        <f t="shared" si="26"/>
        <v>336854.81151430355</v>
      </c>
      <c r="X87" s="11"/>
      <c r="Y87" s="85">
        <f t="shared" si="9"/>
        <v>45</v>
      </c>
      <c r="Z87" s="87">
        <f t="shared" si="10"/>
        <v>46356</v>
      </c>
      <c r="AA87" s="86">
        <f t="shared" si="24"/>
        <v>7521717.387566492</v>
      </c>
      <c r="AB87" s="86">
        <f t="shared" si="11"/>
        <v>278582.12546542624</v>
      </c>
      <c r="AC87" s="86">
        <f t="shared" si="21"/>
        <v>12814777.771409616</v>
      </c>
      <c r="AD87" s="48">
        <f t="shared" si="12"/>
        <v>7243135.2621010654</v>
      </c>
      <c r="AE87" s="11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</row>
    <row r="88" spans="1:49" s="3" customFormat="1" x14ac:dyDescent="0.35">
      <c r="A88" s="6"/>
      <c r="B88" s="47">
        <f t="shared" si="14"/>
        <v>46</v>
      </c>
      <c r="C88" s="82">
        <v>46387</v>
      </c>
      <c r="D88" s="74">
        <f t="shared" si="15"/>
        <v>358984.5</v>
      </c>
      <c r="E88" s="75">
        <v>0</v>
      </c>
      <c r="F88" s="75">
        <f t="shared" si="16"/>
        <v>683780</v>
      </c>
      <c r="G88" s="48">
        <f t="shared" si="2"/>
        <v>358984.5</v>
      </c>
      <c r="H88" s="83">
        <f t="shared" si="3"/>
        <v>1.3835944141712986</v>
      </c>
      <c r="I88" s="83">
        <f t="shared" si="17"/>
        <v>0.72275515841753979</v>
      </c>
      <c r="J88" s="48">
        <f t="shared" si="4"/>
        <v>259457.89916694132</v>
      </c>
      <c r="K88" s="11"/>
      <c r="L88" s="49">
        <f t="shared" si="25"/>
        <v>46</v>
      </c>
      <c r="M88" s="78">
        <f t="shared" si="25"/>
        <v>46387</v>
      </c>
      <c r="N88" s="49">
        <f t="shared" si="22"/>
        <v>7926020.3341256762</v>
      </c>
      <c r="O88" s="49">
        <f t="shared" si="6"/>
        <v>358984.5</v>
      </c>
      <c r="P88" s="49">
        <f t="shared" si="7"/>
        <v>56142.644033390214</v>
      </c>
      <c r="Q88" s="49">
        <f t="shared" si="18"/>
        <v>302841.85596660979</v>
      </c>
      <c r="R88" s="49">
        <f t="shared" si="19"/>
        <v>7623178.4781590663</v>
      </c>
      <c r="S88" s="11"/>
      <c r="T88" s="85">
        <f t="shared" si="8"/>
        <v>46</v>
      </c>
      <c r="U88" s="86">
        <f t="shared" si="20"/>
        <v>278582.12546542624</v>
      </c>
      <c r="V88" s="48">
        <f t="shared" si="23"/>
        <v>56142.644033390214</v>
      </c>
      <c r="W88" s="48">
        <f t="shared" si="26"/>
        <v>334724.76949881646</v>
      </c>
      <c r="X88" s="11"/>
      <c r="Y88" s="85">
        <f t="shared" si="9"/>
        <v>46</v>
      </c>
      <c r="Z88" s="87">
        <f t="shared" si="10"/>
        <v>46387</v>
      </c>
      <c r="AA88" s="86">
        <f t="shared" si="24"/>
        <v>7243135.2621010654</v>
      </c>
      <c r="AB88" s="86">
        <f t="shared" si="11"/>
        <v>278582.12546542624</v>
      </c>
      <c r="AC88" s="86">
        <f t="shared" si="21"/>
        <v>13093359.896875042</v>
      </c>
      <c r="AD88" s="48">
        <f t="shared" si="12"/>
        <v>6964553.1366356388</v>
      </c>
      <c r="AE88" s="11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</row>
    <row r="89" spans="1:49" s="3" customFormat="1" x14ac:dyDescent="0.35">
      <c r="A89" s="6"/>
      <c r="B89" s="47">
        <f t="shared" si="14"/>
        <v>47</v>
      </c>
      <c r="C89" s="82">
        <v>46418</v>
      </c>
      <c r="D89" s="74">
        <f t="shared" si="15"/>
        <v>358984.5</v>
      </c>
      <c r="E89" s="75">
        <v>0</v>
      </c>
      <c r="F89" s="75">
        <f t="shared" si="16"/>
        <v>683780</v>
      </c>
      <c r="G89" s="48">
        <f t="shared" si="2"/>
        <v>358984.5</v>
      </c>
      <c r="H89" s="83">
        <f t="shared" si="3"/>
        <v>1.3933948746050118</v>
      </c>
      <c r="I89" s="83">
        <f t="shared" si="17"/>
        <v>0.71767165089039953</v>
      </c>
      <c r="J89" s="48">
        <f t="shared" si="4"/>
        <v>257632.99875906462</v>
      </c>
      <c r="K89" s="11"/>
      <c r="L89" s="49">
        <f t="shared" si="25"/>
        <v>47</v>
      </c>
      <c r="M89" s="78">
        <f t="shared" si="25"/>
        <v>46418</v>
      </c>
      <c r="N89" s="49">
        <f t="shared" si="22"/>
        <v>7623178.4781590663</v>
      </c>
      <c r="O89" s="49">
        <f t="shared" si="6"/>
        <v>358984.5</v>
      </c>
      <c r="P89" s="49">
        <f t="shared" si="7"/>
        <v>53997.514220293393</v>
      </c>
      <c r="Q89" s="49">
        <f t="shared" si="18"/>
        <v>304986.98577970662</v>
      </c>
      <c r="R89" s="49">
        <f t="shared" si="19"/>
        <v>7318191.4923793599</v>
      </c>
      <c r="S89" s="11"/>
      <c r="T89" s="85">
        <f t="shared" si="8"/>
        <v>47</v>
      </c>
      <c r="U89" s="86">
        <f t="shared" si="20"/>
        <v>278582.12546542624</v>
      </c>
      <c r="V89" s="48">
        <f t="shared" si="23"/>
        <v>53997.514220293393</v>
      </c>
      <c r="W89" s="48">
        <f t="shared" si="26"/>
        <v>332579.63968571962</v>
      </c>
      <c r="X89" s="11"/>
      <c r="Y89" s="85">
        <f t="shared" si="9"/>
        <v>47</v>
      </c>
      <c r="Z89" s="87">
        <f t="shared" si="10"/>
        <v>46418</v>
      </c>
      <c r="AA89" s="86">
        <f t="shared" si="24"/>
        <v>6964553.1366356388</v>
      </c>
      <c r="AB89" s="86">
        <f t="shared" si="11"/>
        <v>278582.12546542624</v>
      </c>
      <c r="AC89" s="86">
        <f t="shared" si="21"/>
        <v>13371942.022340469</v>
      </c>
      <c r="AD89" s="48">
        <f t="shared" si="12"/>
        <v>6685971.0111702122</v>
      </c>
      <c r="AE89" s="11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</row>
    <row r="90" spans="1:49" s="3" customFormat="1" x14ac:dyDescent="0.35">
      <c r="A90" s="6"/>
      <c r="B90" s="47">
        <f t="shared" si="14"/>
        <v>48</v>
      </c>
      <c r="C90" s="82">
        <v>46446</v>
      </c>
      <c r="D90" s="74">
        <f t="shared" si="15"/>
        <v>358984.5</v>
      </c>
      <c r="E90" s="75">
        <v>0</v>
      </c>
      <c r="F90" s="75">
        <f t="shared" si="16"/>
        <v>683780</v>
      </c>
      <c r="G90" s="48">
        <f t="shared" si="2"/>
        <v>358984.5</v>
      </c>
      <c r="H90" s="83">
        <f t="shared" si="3"/>
        <v>1.4032647549667976</v>
      </c>
      <c r="I90" s="83">
        <f t="shared" si="17"/>
        <v>0.71262389827759964</v>
      </c>
      <c r="J90" s="48">
        <f t="shared" si="4"/>
        <v>255820.93381123498</v>
      </c>
      <c r="K90" s="11"/>
      <c r="L90" s="49">
        <f t="shared" si="25"/>
        <v>48</v>
      </c>
      <c r="M90" s="78">
        <f t="shared" si="25"/>
        <v>46446</v>
      </c>
      <c r="N90" s="49">
        <f t="shared" si="22"/>
        <v>7318191.4923793599</v>
      </c>
      <c r="O90" s="49">
        <f t="shared" si="6"/>
        <v>358984.5</v>
      </c>
      <c r="P90" s="49">
        <f t="shared" si="7"/>
        <v>51837.189737687135</v>
      </c>
      <c r="Q90" s="49">
        <f t="shared" si="18"/>
        <v>307147.31026231288</v>
      </c>
      <c r="R90" s="49">
        <f t="shared" si="19"/>
        <v>7011044.1821170468</v>
      </c>
      <c r="S90" s="11"/>
      <c r="T90" s="85">
        <f t="shared" si="8"/>
        <v>48</v>
      </c>
      <c r="U90" s="86">
        <f t="shared" si="20"/>
        <v>278582.12546542624</v>
      </c>
      <c r="V90" s="48">
        <f t="shared" si="23"/>
        <v>51837.189737687135</v>
      </c>
      <c r="W90" s="48">
        <f t="shared" si="26"/>
        <v>330419.31520311336</v>
      </c>
      <c r="X90" s="11"/>
      <c r="Y90" s="85">
        <f t="shared" si="9"/>
        <v>48</v>
      </c>
      <c r="Z90" s="87">
        <f t="shared" si="10"/>
        <v>46446</v>
      </c>
      <c r="AA90" s="86">
        <f t="shared" si="24"/>
        <v>6685971.0111702122</v>
      </c>
      <c r="AB90" s="86">
        <f t="shared" si="11"/>
        <v>278582.12546542624</v>
      </c>
      <c r="AC90" s="86">
        <f t="shared" si="21"/>
        <v>13650524.147805896</v>
      </c>
      <c r="AD90" s="48">
        <f t="shared" si="12"/>
        <v>6407388.8857047856</v>
      </c>
      <c r="AE90" s="11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</row>
    <row r="91" spans="1:49" s="3" customFormat="1" x14ac:dyDescent="0.35">
      <c r="A91" s="6"/>
      <c r="B91" s="47">
        <f t="shared" si="14"/>
        <v>49</v>
      </c>
      <c r="C91" s="82">
        <v>46477</v>
      </c>
      <c r="D91" s="74">
        <f t="shared" si="15"/>
        <v>358984.5</v>
      </c>
      <c r="E91" s="75">
        <v>0</v>
      </c>
      <c r="F91" s="75">
        <f t="shared" si="16"/>
        <v>683780</v>
      </c>
      <c r="G91" s="48">
        <f t="shared" si="2"/>
        <v>358984.5</v>
      </c>
      <c r="H91" s="83">
        <f t="shared" si="3"/>
        <v>1.4132045469811456</v>
      </c>
      <c r="I91" s="83">
        <f t="shared" si="17"/>
        <v>0.70761164909649954</v>
      </c>
      <c r="J91" s="48">
        <f t="shared" si="4"/>
        <v>254021.61404508233</v>
      </c>
      <c r="K91" s="11"/>
      <c r="L91" s="49">
        <f t="shared" si="25"/>
        <v>49</v>
      </c>
      <c r="M91" s="78">
        <f t="shared" si="25"/>
        <v>46477</v>
      </c>
      <c r="N91" s="49">
        <f t="shared" si="22"/>
        <v>7011044.1821170468</v>
      </c>
      <c r="O91" s="49">
        <f t="shared" si="6"/>
        <v>358984.5</v>
      </c>
      <c r="P91" s="49">
        <f t="shared" si="7"/>
        <v>49661.562956662419</v>
      </c>
      <c r="Q91" s="49">
        <f t="shared" si="18"/>
        <v>309322.93704333756</v>
      </c>
      <c r="R91" s="49">
        <f t="shared" si="19"/>
        <v>6701721.2450737096</v>
      </c>
      <c r="S91" s="11"/>
      <c r="T91" s="85">
        <f t="shared" si="8"/>
        <v>49</v>
      </c>
      <c r="U91" s="86">
        <f t="shared" si="20"/>
        <v>278582.12546542624</v>
      </c>
      <c r="V91" s="48">
        <f t="shared" si="23"/>
        <v>49661.562956662419</v>
      </c>
      <c r="W91" s="48">
        <f t="shared" si="26"/>
        <v>328243.68842208869</v>
      </c>
      <c r="X91" s="11"/>
      <c r="Y91" s="85">
        <f t="shared" si="9"/>
        <v>49</v>
      </c>
      <c r="Z91" s="87">
        <f t="shared" si="10"/>
        <v>46477</v>
      </c>
      <c r="AA91" s="86">
        <f t="shared" si="24"/>
        <v>6407388.8857047856</v>
      </c>
      <c r="AB91" s="86">
        <f t="shared" si="11"/>
        <v>278582.12546542624</v>
      </c>
      <c r="AC91" s="86">
        <f t="shared" si="21"/>
        <v>13929106.273271322</v>
      </c>
      <c r="AD91" s="48">
        <f t="shared" si="12"/>
        <v>6128806.760239359</v>
      </c>
      <c r="AE91" s="11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</row>
    <row r="92" spans="1:49" s="3" customFormat="1" x14ac:dyDescent="0.35">
      <c r="A92" s="6"/>
      <c r="B92" s="47">
        <f t="shared" si="14"/>
        <v>50</v>
      </c>
      <c r="C92" s="82">
        <v>46507</v>
      </c>
      <c r="D92" s="74">
        <f t="shared" si="15"/>
        <v>358984.5</v>
      </c>
      <c r="E92" s="75">
        <v>0</v>
      </c>
      <c r="F92" s="75">
        <f t="shared" si="16"/>
        <v>683780</v>
      </c>
      <c r="G92" s="48">
        <f t="shared" si="2"/>
        <v>358984.5</v>
      </c>
      <c r="H92" s="83">
        <f t="shared" si="3"/>
        <v>1.4232147458555955</v>
      </c>
      <c r="I92" s="83">
        <f t="shared" si="17"/>
        <v>0.70263465363326383</v>
      </c>
      <c r="J92" s="48">
        <f t="shared" si="4"/>
        <v>252234.94981721041</v>
      </c>
      <c r="K92" s="11"/>
      <c r="L92" s="49">
        <f t="shared" si="25"/>
        <v>50</v>
      </c>
      <c r="M92" s="78">
        <f t="shared" si="25"/>
        <v>46507</v>
      </c>
      <c r="N92" s="49">
        <f t="shared" si="22"/>
        <v>6701721.2450737096</v>
      </c>
      <c r="O92" s="49">
        <f t="shared" si="6"/>
        <v>358984.5</v>
      </c>
      <c r="P92" s="49">
        <f t="shared" si="7"/>
        <v>47470.525485938779</v>
      </c>
      <c r="Q92" s="49">
        <f t="shared" si="18"/>
        <v>311513.97451406124</v>
      </c>
      <c r="R92" s="49">
        <f t="shared" si="19"/>
        <v>6390207.2705596481</v>
      </c>
      <c r="S92" s="11"/>
      <c r="T92" s="85">
        <f t="shared" si="8"/>
        <v>50</v>
      </c>
      <c r="U92" s="86">
        <f t="shared" si="20"/>
        <v>278582.12546542624</v>
      </c>
      <c r="V92" s="48">
        <f t="shared" si="23"/>
        <v>47470.525485938779</v>
      </c>
      <c r="W92" s="48">
        <f t="shared" si="26"/>
        <v>326052.65095136501</v>
      </c>
      <c r="X92" s="11"/>
      <c r="Y92" s="85">
        <f t="shared" si="9"/>
        <v>50</v>
      </c>
      <c r="Z92" s="87">
        <f t="shared" si="10"/>
        <v>46507</v>
      </c>
      <c r="AA92" s="86">
        <f t="shared" si="24"/>
        <v>6128806.760239359</v>
      </c>
      <c r="AB92" s="86">
        <f t="shared" si="11"/>
        <v>278582.12546542624</v>
      </c>
      <c r="AC92" s="86">
        <f t="shared" si="21"/>
        <v>14207688.398736749</v>
      </c>
      <c r="AD92" s="48">
        <f t="shared" si="12"/>
        <v>5850224.6347739324</v>
      </c>
      <c r="AE92" s="11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</row>
    <row r="93" spans="1:49" s="3" customFormat="1" x14ac:dyDescent="0.35">
      <c r="A93" s="6"/>
      <c r="B93" s="47">
        <f t="shared" si="14"/>
        <v>51</v>
      </c>
      <c r="C93" s="82">
        <v>46538</v>
      </c>
      <c r="D93" s="74">
        <f t="shared" si="15"/>
        <v>358984.5</v>
      </c>
      <c r="E93" s="75">
        <v>0</v>
      </c>
      <c r="F93" s="75">
        <f t="shared" si="16"/>
        <v>683780</v>
      </c>
      <c r="G93" s="48">
        <f t="shared" si="2"/>
        <v>358984.5</v>
      </c>
      <c r="H93" s="83">
        <f t="shared" si="3"/>
        <v>1.4332958503054058</v>
      </c>
      <c r="I93" s="83">
        <f t="shared" si="17"/>
        <v>0.6976926639304234</v>
      </c>
      <c r="J93" s="48">
        <f t="shared" si="4"/>
        <v>250460.85211473107</v>
      </c>
      <c r="K93" s="11"/>
      <c r="L93" s="49">
        <f t="shared" si="25"/>
        <v>51</v>
      </c>
      <c r="M93" s="78">
        <f t="shared" si="25"/>
        <v>46538</v>
      </c>
      <c r="N93" s="49">
        <f t="shared" si="22"/>
        <v>6390207.2705596481</v>
      </c>
      <c r="O93" s="49">
        <f t="shared" si="6"/>
        <v>358984.5</v>
      </c>
      <c r="P93" s="49">
        <f t="shared" si="7"/>
        <v>45263.968166464176</v>
      </c>
      <c r="Q93" s="49">
        <f t="shared" si="18"/>
        <v>313720.53183353582</v>
      </c>
      <c r="R93" s="49">
        <f t="shared" si="19"/>
        <v>6076486.7387261121</v>
      </c>
      <c r="S93" s="11"/>
      <c r="T93" s="85">
        <f t="shared" si="8"/>
        <v>51</v>
      </c>
      <c r="U93" s="86">
        <f t="shared" si="20"/>
        <v>278582.12546542624</v>
      </c>
      <c r="V93" s="48">
        <f t="shared" si="23"/>
        <v>45263.968166464176</v>
      </c>
      <c r="W93" s="48">
        <f t="shared" si="26"/>
        <v>323846.09363189043</v>
      </c>
      <c r="X93" s="11"/>
      <c r="Y93" s="85">
        <f t="shared" si="9"/>
        <v>51</v>
      </c>
      <c r="Z93" s="87">
        <f t="shared" si="10"/>
        <v>46538</v>
      </c>
      <c r="AA93" s="86">
        <f t="shared" si="24"/>
        <v>5850224.6347739324</v>
      </c>
      <c r="AB93" s="86">
        <f t="shared" si="11"/>
        <v>278582.12546542624</v>
      </c>
      <c r="AC93" s="86">
        <f t="shared" si="21"/>
        <v>14486270.524202175</v>
      </c>
      <c r="AD93" s="48">
        <f t="shared" si="12"/>
        <v>5571642.5093085058</v>
      </c>
      <c r="AE93" s="11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</row>
    <row r="94" spans="1:49" s="3" customFormat="1" x14ac:dyDescent="0.35">
      <c r="A94" s="6"/>
      <c r="B94" s="47">
        <f t="shared" si="14"/>
        <v>52</v>
      </c>
      <c r="C94" s="82">
        <v>46568</v>
      </c>
      <c r="D94" s="74">
        <f t="shared" si="15"/>
        <v>358984.5</v>
      </c>
      <c r="E94" s="75">
        <v>0</v>
      </c>
      <c r="F94" s="75">
        <f t="shared" si="16"/>
        <v>683780</v>
      </c>
      <c r="G94" s="48">
        <f t="shared" si="2"/>
        <v>358984.5</v>
      </c>
      <c r="H94" s="83">
        <f t="shared" si="3"/>
        <v>1.4434483625784027</v>
      </c>
      <c r="I94" s="83">
        <f t="shared" si="17"/>
        <v>0.69278543377452051</v>
      </c>
      <c r="J94" s="48">
        <f t="shared" si="4"/>
        <v>248699.23255082936</v>
      </c>
      <c r="K94" s="11"/>
      <c r="L94" s="49">
        <f t="shared" si="25"/>
        <v>52</v>
      </c>
      <c r="M94" s="78">
        <f t="shared" si="25"/>
        <v>46568</v>
      </c>
      <c r="N94" s="49">
        <f t="shared" si="22"/>
        <v>6076486.7387261121</v>
      </c>
      <c r="O94" s="49">
        <f t="shared" si="6"/>
        <v>358984.5</v>
      </c>
      <c r="P94" s="49">
        <f t="shared" si="7"/>
        <v>43041.781065976633</v>
      </c>
      <c r="Q94" s="49">
        <f t="shared" si="18"/>
        <v>315942.71893402335</v>
      </c>
      <c r="R94" s="49">
        <f t="shared" si="19"/>
        <v>5760544.0197920883</v>
      </c>
      <c r="S94" s="11"/>
      <c r="T94" s="85">
        <f t="shared" si="8"/>
        <v>52</v>
      </c>
      <c r="U94" s="86">
        <f t="shared" si="20"/>
        <v>278582.12546542624</v>
      </c>
      <c r="V94" s="48">
        <f t="shared" si="23"/>
        <v>43041.781065976633</v>
      </c>
      <c r="W94" s="48">
        <f t="shared" si="26"/>
        <v>321623.9065314029</v>
      </c>
      <c r="X94" s="11"/>
      <c r="Y94" s="85">
        <f t="shared" si="9"/>
        <v>52</v>
      </c>
      <c r="Z94" s="87">
        <f t="shared" si="10"/>
        <v>46568</v>
      </c>
      <c r="AA94" s="86">
        <f t="shared" si="24"/>
        <v>5571642.5093085058</v>
      </c>
      <c r="AB94" s="86">
        <f t="shared" si="11"/>
        <v>278582.12546542624</v>
      </c>
      <c r="AC94" s="86">
        <f t="shared" si="21"/>
        <v>14764852.649667602</v>
      </c>
      <c r="AD94" s="48">
        <f t="shared" si="12"/>
        <v>5293060.3838430792</v>
      </c>
      <c r="AE94" s="11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</row>
    <row r="95" spans="1:49" s="3" customFormat="1" x14ac:dyDescent="0.35">
      <c r="A95" s="6"/>
      <c r="B95" s="47">
        <f t="shared" si="14"/>
        <v>53</v>
      </c>
      <c r="C95" s="82">
        <v>46599</v>
      </c>
      <c r="D95" s="74">
        <f t="shared" si="15"/>
        <v>358984.5</v>
      </c>
      <c r="E95" s="75">
        <v>0</v>
      </c>
      <c r="F95" s="75">
        <f t="shared" si="16"/>
        <v>683780</v>
      </c>
      <c r="G95" s="48">
        <f t="shared" si="2"/>
        <v>358984.5</v>
      </c>
      <c r="H95" s="83">
        <f t="shared" si="3"/>
        <v>1.4536727884799996</v>
      </c>
      <c r="I95" s="83">
        <f t="shared" si="17"/>
        <v>0.68791271868384329</v>
      </c>
      <c r="J95" s="48">
        <f t="shared" si="4"/>
        <v>246950.00336036013</v>
      </c>
      <c r="K95" s="11"/>
      <c r="L95" s="49">
        <f t="shared" si="25"/>
        <v>53</v>
      </c>
      <c r="M95" s="78">
        <f t="shared" si="25"/>
        <v>46599</v>
      </c>
      <c r="N95" s="49">
        <f t="shared" si="22"/>
        <v>5760544.0197920883</v>
      </c>
      <c r="O95" s="49">
        <f t="shared" si="6"/>
        <v>358984.5</v>
      </c>
      <c r="P95" s="49">
        <f t="shared" si="7"/>
        <v>40803.853473527291</v>
      </c>
      <c r="Q95" s="49">
        <f t="shared" si="18"/>
        <v>318180.6465264727</v>
      </c>
      <c r="R95" s="49">
        <f t="shared" si="19"/>
        <v>5442363.3732656157</v>
      </c>
      <c r="S95" s="11"/>
      <c r="T95" s="85">
        <f t="shared" si="8"/>
        <v>53</v>
      </c>
      <c r="U95" s="86">
        <f t="shared" si="20"/>
        <v>278582.12546542624</v>
      </c>
      <c r="V95" s="48">
        <f t="shared" si="23"/>
        <v>40803.853473527291</v>
      </c>
      <c r="W95" s="48">
        <f t="shared" si="26"/>
        <v>319385.97893895354</v>
      </c>
      <c r="X95" s="11"/>
      <c r="Y95" s="85">
        <f t="shared" si="9"/>
        <v>53</v>
      </c>
      <c r="Z95" s="87">
        <f t="shared" si="10"/>
        <v>46599</v>
      </c>
      <c r="AA95" s="86">
        <f t="shared" si="24"/>
        <v>5293060.3838430792</v>
      </c>
      <c r="AB95" s="86">
        <f t="shared" si="11"/>
        <v>278582.12546542624</v>
      </c>
      <c r="AC95" s="86">
        <f t="shared" si="21"/>
        <v>15043434.775133029</v>
      </c>
      <c r="AD95" s="48">
        <f t="shared" si="12"/>
        <v>5014478.2583776526</v>
      </c>
      <c r="AE95" s="11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</row>
    <row r="96" spans="1:49" s="3" customFormat="1" x14ac:dyDescent="0.35">
      <c r="A96" s="6"/>
      <c r="B96" s="47">
        <f t="shared" si="14"/>
        <v>54</v>
      </c>
      <c r="C96" s="82">
        <v>46630</v>
      </c>
      <c r="D96" s="74">
        <f t="shared" si="15"/>
        <v>358984.5</v>
      </c>
      <c r="E96" s="75">
        <v>0</v>
      </c>
      <c r="F96" s="75">
        <f t="shared" si="16"/>
        <v>683780</v>
      </c>
      <c r="G96" s="48">
        <f t="shared" si="2"/>
        <v>358984.5</v>
      </c>
      <c r="H96" s="83">
        <f t="shared" si="3"/>
        <v>1.4639696373983999</v>
      </c>
      <c r="I96" s="83">
        <f t="shared" si="17"/>
        <v>0.6830742758962447</v>
      </c>
      <c r="J96" s="48">
        <f t="shared" si="4"/>
        <v>245213.07739547544</v>
      </c>
      <c r="K96" s="11"/>
      <c r="L96" s="49">
        <f t="shared" si="25"/>
        <v>54</v>
      </c>
      <c r="M96" s="78">
        <f t="shared" si="25"/>
        <v>46630</v>
      </c>
      <c r="N96" s="49">
        <f t="shared" si="22"/>
        <v>5442363.3732656157</v>
      </c>
      <c r="O96" s="49">
        <f t="shared" si="6"/>
        <v>358984.5</v>
      </c>
      <c r="P96" s="49">
        <f t="shared" si="7"/>
        <v>38550.073893964778</v>
      </c>
      <c r="Q96" s="49">
        <f t="shared" si="18"/>
        <v>320434.42610603524</v>
      </c>
      <c r="R96" s="49">
        <f t="shared" si="19"/>
        <v>5121928.9471595809</v>
      </c>
      <c r="S96" s="11"/>
      <c r="T96" s="85">
        <f t="shared" si="8"/>
        <v>54</v>
      </c>
      <c r="U96" s="86">
        <f t="shared" si="20"/>
        <v>278582.12546542624</v>
      </c>
      <c r="V96" s="48">
        <f t="shared" si="23"/>
        <v>38550.073893964778</v>
      </c>
      <c r="W96" s="48">
        <f t="shared" si="26"/>
        <v>317132.199359391</v>
      </c>
      <c r="X96" s="11"/>
      <c r="Y96" s="85">
        <f t="shared" si="9"/>
        <v>54</v>
      </c>
      <c r="Z96" s="87">
        <f t="shared" si="10"/>
        <v>46630</v>
      </c>
      <c r="AA96" s="86">
        <f t="shared" si="24"/>
        <v>5014478.2583776526</v>
      </c>
      <c r="AB96" s="86">
        <f t="shared" si="11"/>
        <v>278582.12546542624</v>
      </c>
      <c r="AC96" s="86">
        <f t="shared" si="21"/>
        <v>15322016.900598455</v>
      </c>
      <c r="AD96" s="48">
        <f t="shared" si="12"/>
        <v>4735896.132912226</v>
      </c>
      <c r="AE96" s="11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</row>
    <row r="97" spans="1:49" s="3" customFormat="1" x14ac:dyDescent="0.35">
      <c r="A97" s="6"/>
      <c r="B97" s="47">
        <f t="shared" si="14"/>
        <v>55</v>
      </c>
      <c r="C97" s="82">
        <v>46660</v>
      </c>
      <c r="D97" s="74">
        <f t="shared" si="15"/>
        <v>358984.5</v>
      </c>
      <c r="E97" s="75">
        <v>0</v>
      </c>
      <c r="F97" s="75">
        <f t="shared" si="16"/>
        <v>683780</v>
      </c>
      <c r="G97" s="48">
        <f t="shared" si="2"/>
        <v>358984.5</v>
      </c>
      <c r="H97" s="83">
        <f t="shared" si="3"/>
        <v>1.4743394223299715</v>
      </c>
      <c r="I97" s="83">
        <f t="shared" si="17"/>
        <v>0.67826986435704917</v>
      </c>
      <c r="J97" s="48">
        <f t="shared" si="4"/>
        <v>243488.36812128313</v>
      </c>
      <c r="K97" s="11"/>
      <c r="L97" s="49">
        <f t="shared" si="25"/>
        <v>55</v>
      </c>
      <c r="M97" s="78">
        <f t="shared" si="25"/>
        <v>46660</v>
      </c>
      <c r="N97" s="49">
        <f t="shared" si="22"/>
        <v>5121928.9471595809</v>
      </c>
      <c r="O97" s="49">
        <f t="shared" si="6"/>
        <v>358984.5</v>
      </c>
      <c r="P97" s="49">
        <f t="shared" si="7"/>
        <v>36280.330042380367</v>
      </c>
      <c r="Q97" s="49">
        <f t="shared" si="18"/>
        <v>322704.16995761963</v>
      </c>
      <c r="R97" s="49">
        <f t="shared" si="19"/>
        <v>4799224.7772019617</v>
      </c>
      <c r="S97" s="11"/>
      <c r="T97" s="85">
        <f t="shared" si="8"/>
        <v>55</v>
      </c>
      <c r="U97" s="86">
        <f t="shared" si="20"/>
        <v>278582.12546542624</v>
      </c>
      <c r="V97" s="48">
        <f t="shared" si="23"/>
        <v>36280.330042380367</v>
      </c>
      <c r="W97" s="48">
        <f t="shared" si="26"/>
        <v>314862.45550780662</v>
      </c>
      <c r="X97" s="11"/>
      <c r="Y97" s="85">
        <f t="shared" si="9"/>
        <v>55</v>
      </c>
      <c r="Z97" s="87">
        <f t="shared" si="10"/>
        <v>46660</v>
      </c>
      <c r="AA97" s="86">
        <f t="shared" si="24"/>
        <v>4735896.132912226</v>
      </c>
      <c r="AB97" s="86">
        <f t="shared" si="11"/>
        <v>278582.12546542624</v>
      </c>
      <c r="AC97" s="86">
        <f t="shared" si="21"/>
        <v>15600599.026063882</v>
      </c>
      <c r="AD97" s="48">
        <f t="shared" si="12"/>
        <v>4457314.0074467994</v>
      </c>
      <c r="AE97" s="11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</row>
    <row r="98" spans="1:49" s="3" customFormat="1" x14ac:dyDescent="0.35">
      <c r="A98" s="6"/>
      <c r="B98" s="47">
        <f t="shared" si="14"/>
        <v>56</v>
      </c>
      <c r="C98" s="82">
        <v>46691</v>
      </c>
      <c r="D98" s="74">
        <f t="shared" si="15"/>
        <v>358984.5</v>
      </c>
      <c r="E98" s="75">
        <v>0</v>
      </c>
      <c r="F98" s="75">
        <f t="shared" si="16"/>
        <v>683780</v>
      </c>
      <c r="G98" s="48">
        <f t="shared" si="2"/>
        <v>358984.5</v>
      </c>
      <c r="H98" s="83">
        <f t="shared" si="3"/>
        <v>1.4847826599048091</v>
      </c>
      <c r="I98" s="83">
        <f t="shared" si="17"/>
        <v>0.67349924470704081</v>
      </c>
      <c r="J98" s="48">
        <f t="shared" si="4"/>
        <v>241775.78961153468</v>
      </c>
      <c r="K98" s="11"/>
      <c r="L98" s="49">
        <f t="shared" si="25"/>
        <v>56</v>
      </c>
      <c r="M98" s="78">
        <f t="shared" si="25"/>
        <v>46691</v>
      </c>
      <c r="N98" s="49">
        <f t="shared" si="22"/>
        <v>4799224.7772019617</v>
      </c>
      <c r="O98" s="49">
        <f t="shared" si="6"/>
        <v>358984.5</v>
      </c>
      <c r="P98" s="49">
        <f t="shared" si="7"/>
        <v>33994.508838513895</v>
      </c>
      <c r="Q98" s="49">
        <f t="shared" si="18"/>
        <v>324989.99116148613</v>
      </c>
      <c r="R98" s="49">
        <f t="shared" si="19"/>
        <v>4474234.7860404756</v>
      </c>
      <c r="S98" s="11"/>
      <c r="T98" s="85">
        <f t="shared" si="8"/>
        <v>56</v>
      </c>
      <c r="U98" s="86">
        <f t="shared" si="20"/>
        <v>278582.12546542624</v>
      </c>
      <c r="V98" s="48">
        <f t="shared" si="23"/>
        <v>33994.508838513895</v>
      </c>
      <c r="W98" s="48">
        <f t="shared" si="26"/>
        <v>312576.63430394011</v>
      </c>
      <c r="X98" s="11"/>
      <c r="Y98" s="85">
        <f t="shared" si="9"/>
        <v>56</v>
      </c>
      <c r="Z98" s="87">
        <f t="shared" si="10"/>
        <v>46691</v>
      </c>
      <c r="AA98" s="86">
        <f t="shared" si="24"/>
        <v>4457314.0074467994</v>
      </c>
      <c r="AB98" s="86">
        <f t="shared" si="11"/>
        <v>278582.12546542624</v>
      </c>
      <c r="AC98" s="86">
        <f t="shared" si="21"/>
        <v>15879181.151529308</v>
      </c>
      <c r="AD98" s="48">
        <f t="shared" si="12"/>
        <v>4178731.8819813733</v>
      </c>
      <c r="AE98" s="11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</row>
    <row r="99" spans="1:49" s="3" customFormat="1" x14ac:dyDescent="0.35">
      <c r="A99" s="6"/>
      <c r="B99" s="47">
        <f t="shared" si="14"/>
        <v>57</v>
      </c>
      <c r="C99" s="82">
        <v>46721</v>
      </c>
      <c r="D99" s="74">
        <f t="shared" si="15"/>
        <v>358984.5</v>
      </c>
      <c r="E99" s="75">
        <v>0</v>
      </c>
      <c r="F99" s="75">
        <f t="shared" si="16"/>
        <v>683780</v>
      </c>
      <c r="G99" s="48">
        <f t="shared" si="2"/>
        <v>358984.5</v>
      </c>
      <c r="H99" s="83">
        <f t="shared" si="3"/>
        <v>1.4952998704124685</v>
      </c>
      <c r="I99" s="83">
        <f t="shared" si="17"/>
        <v>0.66876217927054105</v>
      </c>
      <c r="J99" s="48">
        <f t="shared" si="4"/>
        <v>240075.25654434555</v>
      </c>
      <c r="K99" s="11"/>
      <c r="L99" s="49">
        <f t="shared" si="25"/>
        <v>57</v>
      </c>
      <c r="M99" s="78">
        <f t="shared" si="25"/>
        <v>46721</v>
      </c>
      <c r="N99" s="49">
        <f t="shared" si="22"/>
        <v>4474234.7860404756</v>
      </c>
      <c r="O99" s="49">
        <f t="shared" si="6"/>
        <v>358984.5</v>
      </c>
      <c r="P99" s="49">
        <f t="shared" si="7"/>
        <v>31692.496401120039</v>
      </c>
      <c r="Q99" s="49">
        <f t="shared" si="18"/>
        <v>327292.00359887996</v>
      </c>
      <c r="R99" s="49">
        <f t="shared" si="19"/>
        <v>4146942.7824415956</v>
      </c>
      <c r="S99" s="11"/>
      <c r="T99" s="85">
        <f t="shared" si="8"/>
        <v>57</v>
      </c>
      <c r="U99" s="86">
        <f t="shared" si="20"/>
        <v>278582.12546542624</v>
      </c>
      <c r="V99" s="48">
        <f t="shared" si="23"/>
        <v>31692.496401120039</v>
      </c>
      <c r="W99" s="48">
        <f t="shared" si="26"/>
        <v>310274.62186654628</v>
      </c>
      <c r="X99" s="11"/>
      <c r="Y99" s="85">
        <f t="shared" si="9"/>
        <v>57</v>
      </c>
      <c r="Z99" s="87">
        <f t="shared" si="10"/>
        <v>46721</v>
      </c>
      <c r="AA99" s="86">
        <f t="shared" si="24"/>
        <v>4178731.8819813733</v>
      </c>
      <c r="AB99" s="80">
        <f t="shared" si="11"/>
        <v>278582.12546542624</v>
      </c>
      <c r="AC99" s="86">
        <f t="shared" si="21"/>
        <v>16157763.276994735</v>
      </c>
      <c r="AD99" s="48">
        <f t="shared" si="12"/>
        <v>3900149.7565159472</v>
      </c>
      <c r="AE99" s="11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</row>
    <row r="100" spans="1:49" s="3" customFormat="1" x14ac:dyDescent="0.35">
      <c r="A100" s="6"/>
      <c r="B100" s="47">
        <f t="shared" si="14"/>
        <v>58</v>
      </c>
      <c r="C100" s="82">
        <v>46752</v>
      </c>
      <c r="D100" s="74">
        <f t="shared" si="15"/>
        <v>358984.5</v>
      </c>
      <c r="E100" s="75">
        <v>0</v>
      </c>
      <c r="F100" s="75">
        <f t="shared" si="16"/>
        <v>683780</v>
      </c>
      <c r="G100" s="48">
        <f t="shared" si="2"/>
        <v>358984.5</v>
      </c>
      <c r="H100" s="83">
        <f t="shared" si="3"/>
        <v>1.5058915778278898</v>
      </c>
      <c r="I100" s="83">
        <f t="shared" si="17"/>
        <v>0.66405843204356585</v>
      </c>
      <c r="J100" s="48">
        <f t="shared" si="4"/>
        <v>238386.68419794345</v>
      </c>
      <c r="K100" s="11"/>
      <c r="L100" s="49">
        <f t="shared" si="25"/>
        <v>58</v>
      </c>
      <c r="M100" s="78">
        <f t="shared" si="25"/>
        <v>46752</v>
      </c>
      <c r="N100" s="49">
        <f t="shared" si="22"/>
        <v>4146942.7824415956</v>
      </c>
      <c r="O100" s="49">
        <f t="shared" si="6"/>
        <v>358984.5</v>
      </c>
      <c r="P100" s="49">
        <f t="shared" si="7"/>
        <v>29374.178042294636</v>
      </c>
      <c r="Q100" s="49">
        <f t="shared" si="18"/>
        <v>329610.32195770537</v>
      </c>
      <c r="R100" s="49">
        <f t="shared" si="19"/>
        <v>3817332.46048389</v>
      </c>
      <c r="S100" s="11"/>
      <c r="T100" s="85">
        <f t="shared" si="8"/>
        <v>58</v>
      </c>
      <c r="U100" s="86">
        <f t="shared" si="20"/>
        <v>278582.12546542624</v>
      </c>
      <c r="V100" s="48">
        <f t="shared" si="23"/>
        <v>29374.178042294636</v>
      </c>
      <c r="W100" s="48">
        <f t="shared" si="26"/>
        <v>307956.30350772088</v>
      </c>
      <c r="X100" s="11"/>
      <c r="Y100" s="85">
        <f t="shared" si="9"/>
        <v>58</v>
      </c>
      <c r="Z100" s="87">
        <f t="shared" si="10"/>
        <v>46752</v>
      </c>
      <c r="AA100" s="86">
        <f t="shared" si="24"/>
        <v>3900149.7565159472</v>
      </c>
      <c r="AB100" s="80">
        <f t="shared" si="11"/>
        <v>278582.12546542624</v>
      </c>
      <c r="AC100" s="86">
        <f t="shared" si="21"/>
        <v>16436345.402460162</v>
      </c>
      <c r="AD100" s="48">
        <f t="shared" si="12"/>
        <v>3621567.631050521</v>
      </c>
      <c r="AE100" s="11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</row>
    <row r="101" spans="1:49" s="3" customFormat="1" x14ac:dyDescent="0.35">
      <c r="A101" s="6"/>
      <c r="B101" s="47">
        <f t="shared" si="14"/>
        <v>59</v>
      </c>
      <c r="C101" s="82">
        <v>46783</v>
      </c>
      <c r="D101" s="74">
        <f t="shared" si="15"/>
        <v>358984.5</v>
      </c>
      <c r="E101" s="75">
        <v>0</v>
      </c>
      <c r="F101" s="75">
        <f t="shared" si="16"/>
        <v>683780</v>
      </c>
      <c r="G101" s="48">
        <f t="shared" si="2"/>
        <v>358984.5</v>
      </c>
      <c r="H101" s="83">
        <f t="shared" si="3"/>
        <v>1.5165583098375039</v>
      </c>
      <c r="I101" s="83">
        <f t="shared" si="17"/>
        <v>0.65938776868206794</v>
      </c>
      <c r="J101" s="48">
        <f t="shared" si="4"/>
        <v>236709.98844644782</v>
      </c>
      <c r="K101" s="11"/>
      <c r="L101" s="49">
        <f t="shared" si="25"/>
        <v>59</v>
      </c>
      <c r="M101" s="78">
        <f t="shared" si="25"/>
        <v>46783</v>
      </c>
      <c r="N101" s="49">
        <f t="shared" si="22"/>
        <v>3817332.46048389</v>
      </c>
      <c r="O101" s="49">
        <f t="shared" si="6"/>
        <v>358984.5</v>
      </c>
      <c r="P101" s="49">
        <f t="shared" si="7"/>
        <v>27039.43826176089</v>
      </c>
      <c r="Q101" s="49">
        <f t="shared" si="18"/>
        <v>331945.06173823914</v>
      </c>
      <c r="R101" s="49">
        <f t="shared" si="19"/>
        <v>3485387.3987456509</v>
      </c>
      <c r="S101" s="11"/>
      <c r="T101" s="85">
        <f t="shared" si="8"/>
        <v>59</v>
      </c>
      <c r="U101" s="86">
        <f t="shared" si="20"/>
        <v>278582.12546542624</v>
      </c>
      <c r="V101" s="48">
        <f t="shared" si="23"/>
        <v>27039.43826176089</v>
      </c>
      <c r="W101" s="48">
        <f t="shared" si="26"/>
        <v>305621.56372718711</v>
      </c>
      <c r="X101" s="11"/>
      <c r="Y101" s="85">
        <f t="shared" si="9"/>
        <v>59</v>
      </c>
      <c r="Z101" s="87">
        <f t="shared" si="10"/>
        <v>46783</v>
      </c>
      <c r="AA101" s="86">
        <f t="shared" si="24"/>
        <v>3621567.631050521</v>
      </c>
      <c r="AB101" s="80">
        <f t="shared" si="11"/>
        <v>278582.12546542624</v>
      </c>
      <c r="AC101" s="86">
        <f t="shared" si="21"/>
        <v>16714927.527925588</v>
      </c>
      <c r="AD101" s="48">
        <f t="shared" si="12"/>
        <v>3342985.5055850949</v>
      </c>
      <c r="AE101" s="11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</row>
    <row r="102" spans="1:49" s="3" customFormat="1" x14ac:dyDescent="0.35">
      <c r="A102" s="6"/>
      <c r="B102" s="47">
        <f t="shared" si="14"/>
        <v>60</v>
      </c>
      <c r="C102" s="82">
        <v>46812</v>
      </c>
      <c r="D102" s="74">
        <f t="shared" si="15"/>
        <v>358984.5</v>
      </c>
      <c r="E102" s="75">
        <v>0</v>
      </c>
      <c r="F102" s="75">
        <f t="shared" si="16"/>
        <v>683780</v>
      </c>
      <c r="G102" s="48">
        <f t="shared" si="2"/>
        <v>358984.5</v>
      </c>
      <c r="H102" s="83">
        <f t="shared" si="3"/>
        <v>1.5273005978655201</v>
      </c>
      <c r="I102" s="83">
        <f t="shared" si="17"/>
        <v>0.65474995649026169</v>
      </c>
      <c r="J102" s="48">
        <f t="shared" si="4"/>
        <v>235045.08575567836</v>
      </c>
      <c r="K102" s="11"/>
      <c r="L102" s="49">
        <f t="shared" ref="L102:M113" si="27">B102</f>
        <v>60</v>
      </c>
      <c r="M102" s="78">
        <f t="shared" si="27"/>
        <v>46812</v>
      </c>
      <c r="N102" s="49">
        <f t="shared" si="22"/>
        <v>3485387.3987456509</v>
      </c>
      <c r="O102" s="49">
        <f t="shared" si="6"/>
        <v>358984.5</v>
      </c>
      <c r="P102" s="49">
        <f t="shared" si="7"/>
        <v>24688.160741115029</v>
      </c>
      <c r="Q102" s="49">
        <f t="shared" si="18"/>
        <v>334296.33925888495</v>
      </c>
      <c r="R102" s="49">
        <f t="shared" si="19"/>
        <v>3151091.0594867659</v>
      </c>
      <c r="S102" s="11"/>
      <c r="T102" s="85">
        <f t="shared" si="8"/>
        <v>60</v>
      </c>
      <c r="U102" s="86">
        <f t="shared" si="20"/>
        <v>278582.12546542624</v>
      </c>
      <c r="V102" s="48">
        <f t="shared" si="23"/>
        <v>24688.160741115029</v>
      </c>
      <c r="W102" s="48">
        <f t="shared" si="26"/>
        <v>303270.28620654129</v>
      </c>
      <c r="X102" s="11"/>
      <c r="Y102" s="85">
        <f t="shared" si="9"/>
        <v>60</v>
      </c>
      <c r="Z102" s="87">
        <f t="shared" si="10"/>
        <v>46812</v>
      </c>
      <c r="AA102" s="86">
        <f t="shared" si="24"/>
        <v>3342985.5055850949</v>
      </c>
      <c r="AB102" s="80">
        <f t="shared" si="11"/>
        <v>278582.12546542624</v>
      </c>
      <c r="AC102" s="86">
        <f t="shared" si="21"/>
        <v>16993509.653391015</v>
      </c>
      <c r="AD102" s="48">
        <f t="shared" si="12"/>
        <v>3064403.3801196688</v>
      </c>
      <c r="AE102" s="11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</row>
    <row r="103" spans="1:49" s="3" customFormat="1" x14ac:dyDescent="0.35">
      <c r="A103" s="6"/>
      <c r="B103" s="47">
        <f t="shared" si="14"/>
        <v>61</v>
      </c>
      <c r="C103" s="82">
        <v>46843</v>
      </c>
      <c r="D103" s="74">
        <f t="shared" si="15"/>
        <v>358984.5</v>
      </c>
      <c r="E103" s="75">
        <v>0</v>
      </c>
      <c r="F103" s="75">
        <f t="shared" si="16"/>
        <v>683780</v>
      </c>
      <c r="G103" s="48">
        <f t="shared" si="2"/>
        <v>358984.5</v>
      </c>
      <c r="H103" s="83">
        <f t="shared" si="3"/>
        <v>1.5381189771004005</v>
      </c>
      <c r="I103" s="83">
        <f t="shared" si="17"/>
        <v>0.65014476440903124</v>
      </c>
      <c r="J103" s="48">
        <f t="shared" si="4"/>
        <v>233391.89317899387</v>
      </c>
      <c r="K103" s="11"/>
      <c r="L103" s="49">
        <f t="shared" si="27"/>
        <v>61</v>
      </c>
      <c r="M103" s="78">
        <f t="shared" si="27"/>
        <v>46843</v>
      </c>
      <c r="N103" s="49">
        <f t="shared" si="22"/>
        <v>3151091.0594867659</v>
      </c>
      <c r="O103" s="49">
        <f t="shared" si="6"/>
        <v>358984.5</v>
      </c>
      <c r="P103" s="49">
        <f t="shared" si="7"/>
        <v>22320.228338031258</v>
      </c>
      <c r="Q103" s="49">
        <f t="shared" si="18"/>
        <v>336664.27166196873</v>
      </c>
      <c r="R103" s="49">
        <f t="shared" si="19"/>
        <v>2814426.787824797</v>
      </c>
      <c r="S103" s="11"/>
      <c r="T103" s="85">
        <f t="shared" si="8"/>
        <v>61</v>
      </c>
      <c r="U103" s="86">
        <f t="shared" si="20"/>
        <v>278582.12546542624</v>
      </c>
      <c r="V103" s="48">
        <f t="shared" si="23"/>
        <v>22320.228338031258</v>
      </c>
      <c r="W103" s="48">
        <f t="shared" si="26"/>
        <v>300902.35380345752</v>
      </c>
      <c r="X103" s="11"/>
      <c r="Y103" s="85">
        <f t="shared" si="9"/>
        <v>61</v>
      </c>
      <c r="Z103" s="87">
        <f t="shared" si="10"/>
        <v>46843</v>
      </c>
      <c r="AA103" s="86">
        <f t="shared" si="24"/>
        <v>3064403.3801196688</v>
      </c>
      <c r="AB103" s="80">
        <f t="shared" si="11"/>
        <v>278582.12546542624</v>
      </c>
      <c r="AC103" s="86">
        <f t="shared" si="21"/>
        <v>17272091.778856441</v>
      </c>
      <c r="AD103" s="48">
        <f t="shared" si="12"/>
        <v>2785821.2546542427</v>
      </c>
      <c r="AE103" s="11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</row>
    <row r="104" spans="1:49" s="3" customFormat="1" x14ac:dyDescent="0.35">
      <c r="A104" s="6"/>
      <c r="B104" s="47">
        <f t="shared" si="14"/>
        <v>62</v>
      </c>
      <c r="C104" s="82">
        <v>46873</v>
      </c>
      <c r="D104" s="74">
        <f t="shared" si="15"/>
        <v>358984.5</v>
      </c>
      <c r="E104" s="75">
        <v>0</v>
      </c>
      <c r="F104" s="75">
        <f t="shared" si="16"/>
        <v>683780</v>
      </c>
      <c r="G104" s="48">
        <f t="shared" si="2"/>
        <v>358984.5</v>
      </c>
      <c r="H104" s="83">
        <f t="shared" si="3"/>
        <v>1.5490139865215284</v>
      </c>
      <c r="I104" s="83">
        <f t="shared" si="17"/>
        <v>0.64557196300441655</v>
      </c>
      <c r="J104" s="48">
        <f t="shared" si="4"/>
        <v>231750.32835315898</v>
      </c>
      <c r="K104" s="11"/>
      <c r="L104" s="49">
        <f t="shared" si="27"/>
        <v>62</v>
      </c>
      <c r="M104" s="78">
        <f t="shared" si="27"/>
        <v>46873</v>
      </c>
      <c r="N104" s="49">
        <f t="shared" si="22"/>
        <v>2814426.787824797</v>
      </c>
      <c r="O104" s="49">
        <f t="shared" si="6"/>
        <v>358984.5</v>
      </c>
      <c r="P104" s="49">
        <f t="shared" si="7"/>
        <v>19935.523080425646</v>
      </c>
      <c r="Q104" s="49">
        <f t="shared" si="18"/>
        <v>339048.97691957437</v>
      </c>
      <c r="R104" s="49">
        <f t="shared" si="19"/>
        <v>2475377.8109052228</v>
      </c>
      <c r="S104" s="11"/>
      <c r="T104" s="85">
        <f t="shared" si="8"/>
        <v>62</v>
      </c>
      <c r="U104" s="86">
        <f t="shared" si="20"/>
        <v>278582.12546542624</v>
      </c>
      <c r="V104" s="48">
        <f t="shared" si="23"/>
        <v>19935.523080425646</v>
      </c>
      <c r="W104" s="48">
        <f t="shared" si="26"/>
        <v>298517.64854585187</v>
      </c>
      <c r="X104" s="11"/>
      <c r="Y104" s="85">
        <f t="shared" si="9"/>
        <v>62</v>
      </c>
      <c r="Z104" s="87">
        <f t="shared" si="10"/>
        <v>46873</v>
      </c>
      <c r="AA104" s="86">
        <f t="shared" si="24"/>
        <v>2785821.2546542427</v>
      </c>
      <c r="AB104" s="80">
        <f t="shared" si="11"/>
        <v>278582.12546542624</v>
      </c>
      <c r="AC104" s="86">
        <f t="shared" si="21"/>
        <v>17550673.904321868</v>
      </c>
      <c r="AD104" s="48">
        <f t="shared" si="12"/>
        <v>2507239.1291888165</v>
      </c>
      <c r="AE104" s="11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</row>
    <row r="105" spans="1:49" s="3" customFormat="1" x14ac:dyDescent="0.35">
      <c r="A105" s="6"/>
      <c r="B105" s="47">
        <f t="shared" si="14"/>
        <v>63</v>
      </c>
      <c r="C105" s="82">
        <v>46904</v>
      </c>
      <c r="D105" s="74">
        <f t="shared" si="15"/>
        <v>358984.5</v>
      </c>
      <c r="E105" s="75">
        <v>0</v>
      </c>
      <c r="F105" s="75">
        <f t="shared" si="16"/>
        <v>683780</v>
      </c>
      <c r="G105" s="48">
        <f t="shared" si="2"/>
        <v>358984.5</v>
      </c>
      <c r="H105" s="83">
        <f t="shared" si="3"/>
        <v>1.5599861689260559</v>
      </c>
      <c r="I105" s="83">
        <f t="shared" si="17"/>
        <v>0.64103132445618527</v>
      </c>
      <c r="J105" s="48">
        <f t="shared" si="4"/>
        <v>230120.30949424143</v>
      </c>
      <c r="K105" s="11"/>
      <c r="L105" s="49">
        <f t="shared" si="27"/>
        <v>63</v>
      </c>
      <c r="M105" s="78">
        <f t="shared" si="27"/>
        <v>46904</v>
      </c>
      <c r="N105" s="49">
        <f t="shared" si="22"/>
        <v>2475377.8109052228</v>
      </c>
      <c r="O105" s="49">
        <f t="shared" si="6"/>
        <v>358984.5</v>
      </c>
      <c r="P105" s="49">
        <f t="shared" si="7"/>
        <v>17533.926160578663</v>
      </c>
      <c r="Q105" s="49">
        <f t="shared" si="18"/>
        <v>341450.57383942133</v>
      </c>
      <c r="R105" s="49">
        <f t="shared" si="19"/>
        <v>2133927.2370658014</v>
      </c>
      <c r="S105" s="11"/>
      <c r="T105" s="85">
        <f t="shared" si="8"/>
        <v>63</v>
      </c>
      <c r="U105" s="86">
        <f t="shared" si="20"/>
        <v>278582.12546542624</v>
      </c>
      <c r="V105" s="48">
        <f t="shared" si="23"/>
        <v>17533.926160578663</v>
      </c>
      <c r="W105" s="48">
        <f t="shared" si="26"/>
        <v>296116.05162600492</v>
      </c>
      <c r="X105" s="11"/>
      <c r="Y105" s="85">
        <f t="shared" si="9"/>
        <v>63</v>
      </c>
      <c r="Z105" s="87">
        <f t="shared" si="10"/>
        <v>46904</v>
      </c>
      <c r="AA105" s="86">
        <f t="shared" si="24"/>
        <v>2507239.1291888165</v>
      </c>
      <c r="AB105" s="80">
        <f t="shared" si="11"/>
        <v>278582.12546542624</v>
      </c>
      <c r="AC105" s="86">
        <f t="shared" si="21"/>
        <v>17829256.029787295</v>
      </c>
      <c r="AD105" s="48">
        <f t="shared" si="12"/>
        <v>2228657.0037233904</v>
      </c>
      <c r="AE105" s="11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</row>
    <row r="106" spans="1:49" s="3" customFormat="1" x14ac:dyDescent="0.35">
      <c r="A106" s="6"/>
      <c r="B106" s="47">
        <f t="shared" si="14"/>
        <v>64</v>
      </c>
      <c r="C106" s="82">
        <v>46934</v>
      </c>
      <c r="D106" s="74">
        <f t="shared" si="15"/>
        <v>358984.5</v>
      </c>
      <c r="E106" s="75">
        <v>0</v>
      </c>
      <c r="F106" s="75">
        <f t="shared" si="16"/>
        <v>683780</v>
      </c>
      <c r="G106" s="48">
        <f t="shared" ref="G106:G113" si="28">D106-E106</f>
        <v>358984.5</v>
      </c>
      <c r="H106" s="83">
        <f t="shared" ref="H106:H113" si="29">(1+($H$41/12))^B106</f>
        <v>1.571036070955949</v>
      </c>
      <c r="I106" s="83">
        <f t="shared" si="17"/>
        <v>0.63652262254648095</v>
      </c>
      <c r="J106" s="48">
        <f t="shared" ref="J106:J113" si="30">G106*I106</f>
        <v>228501.7553935372</v>
      </c>
      <c r="K106" s="11"/>
      <c r="L106" s="49">
        <f t="shared" si="27"/>
        <v>64</v>
      </c>
      <c r="M106" s="78">
        <f t="shared" si="27"/>
        <v>46934</v>
      </c>
      <c r="N106" s="49">
        <f t="shared" si="22"/>
        <v>2133927.2370658014</v>
      </c>
      <c r="O106" s="49">
        <f t="shared" ref="O106:O113" si="31">G106</f>
        <v>358984.5</v>
      </c>
      <c r="P106" s="49">
        <f t="shared" ref="P106:P113" si="32">IF(B106=0,0,+(N106*($H$41/12)))</f>
        <v>15115.317929216095</v>
      </c>
      <c r="Q106" s="49">
        <f t="shared" si="18"/>
        <v>343869.18207078392</v>
      </c>
      <c r="R106" s="49">
        <f t="shared" si="19"/>
        <v>1790058.0549950176</v>
      </c>
      <c r="S106" s="11"/>
      <c r="T106" s="85">
        <f t="shared" ref="T106:T113" si="33">B106</f>
        <v>64</v>
      </c>
      <c r="U106" s="86">
        <f t="shared" si="20"/>
        <v>278582.12546542624</v>
      </c>
      <c r="V106" s="48">
        <f t="shared" si="23"/>
        <v>15115.317929216095</v>
      </c>
      <c r="W106" s="48">
        <f t="shared" si="26"/>
        <v>293697.44339464232</v>
      </c>
      <c r="X106" s="11"/>
      <c r="Y106" s="85">
        <f t="shared" ref="Y106:Y113" si="34">T106</f>
        <v>64</v>
      </c>
      <c r="Z106" s="87">
        <f t="shared" ref="Z106:Z113" si="35">M106</f>
        <v>46934</v>
      </c>
      <c r="AA106" s="86">
        <f t="shared" si="24"/>
        <v>2228657.0037233904</v>
      </c>
      <c r="AB106" s="80">
        <f t="shared" ref="AB106:AB113" si="36">U106</f>
        <v>278582.12546542624</v>
      </c>
      <c r="AC106" s="86">
        <f t="shared" si="21"/>
        <v>18107838.155252721</v>
      </c>
      <c r="AD106" s="48">
        <f t="shared" ref="AD106:AD113" si="37">AA106-AB106</f>
        <v>1950074.8782579643</v>
      </c>
      <c r="AE106" s="11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</row>
    <row r="107" spans="1:49" s="3" customFormat="1" x14ac:dyDescent="0.35">
      <c r="A107" s="6"/>
      <c r="B107" s="47">
        <f t="shared" si="14"/>
        <v>65</v>
      </c>
      <c r="C107" s="82">
        <v>46965</v>
      </c>
      <c r="D107" s="74">
        <f t="shared" si="15"/>
        <v>358984.5</v>
      </c>
      <c r="E107" s="75">
        <v>0</v>
      </c>
      <c r="F107" s="75">
        <f t="shared" si="16"/>
        <v>683780</v>
      </c>
      <c r="G107" s="48">
        <f t="shared" si="28"/>
        <v>358984.5</v>
      </c>
      <c r="H107" s="83">
        <f t="shared" si="29"/>
        <v>1.5821642431252203</v>
      </c>
      <c r="I107" s="83">
        <f t="shared" si="17"/>
        <v>0.63204563264855373</v>
      </c>
      <c r="J107" s="48">
        <f t="shared" si="30"/>
        <v>226894.58541352474</v>
      </c>
      <c r="K107" s="11"/>
      <c r="L107" s="49">
        <f t="shared" si="27"/>
        <v>65</v>
      </c>
      <c r="M107" s="78">
        <f t="shared" si="27"/>
        <v>46965</v>
      </c>
      <c r="N107" s="49">
        <f t="shared" si="22"/>
        <v>1790058.0549950176</v>
      </c>
      <c r="O107" s="49">
        <f t="shared" si="31"/>
        <v>358984.5</v>
      </c>
      <c r="P107" s="49">
        <f t="shared" si="32"/>
        <v>12679.577889548042</v>
      </c>
      <c r="Q107" s="49">
        <f t="shared" si="18"/>
        <v>346304.92211045197</v>
      </c>
      <c r="R107" s="49">
        <f t="shared" si="19"/>
        <v>1443753.1328845657</v>
      </c>
      <c r="S107" s="11"/>
      <c r="T107" s="85">
        <f t="shared" si="33"/>
        <v>65</v>
      </c>
      <c r="U107" s="86">
        <f t="shared" si="20"/>
        <v>278582.12546542624</v>
      </c>
      <c r="V107" s="48">
        <f t="shared" si="23"/>
        <v>12679.577889548042</v>
      </c>
      <c r="W107" s="48">
        <f t="shared" si="26"/>
        <v>291261.70335497428</v>
      </c>
      <c r="X107" s="11"/>
      <c r="Y107" s="85">
        <f t="shared" si="34"/>
        <v>65</v>
      </c>
      <c r="Z107" s="87">
        <f t="shared" si="35"/>
        <v>46965</v>
      </c>
      <c r="AA107" s="86">
        <f t="shared" si="24"/>
        <v>1950074.8782579643</v>
      </c>
      <c r="AB107" s="80">
        <f t="shared" si="36"/>
        <v>278582.12546542624</v>
      </c>
      <c r="AC107" s="86">
        <f t="shared" si="21"/>
        <v>18386420.280718148</v>
      </c>
      <c r="AD107" s="48">
        <f t="shared" si="37"/>
        <v>1671492.7527925381</v>
      </c>
      <c r="AE107" s="11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</row>
    <row r="108" spans="1:49" s="3" customFormat="1" x14ac:dyDescent="0.35">
      <c r="A108" s="6"/>
      <c r="B108" s="47">
        <f t="shared" ref="B108:B113" si="38">B107+1</f>
        <v>66</v>
      </c>
      <c r="C108" s="82">
        <v>46996</v>
      </c>
      <c r="D108" s="74">
        <f t="shared" ref="D108:D111" si="39">D107</f>
        <v>358984.5</v>
      </c>
      <c r="E108" s="75">
        <v>0</v>
      </c>
      <c r="F108" s="75">
        <f t="shared" ref="F108:F113" si="40">F107-E108</f>
        <v>683780</v>
      </c>
      <c r="G108" s="48">
        <f t="shared" si="28"/>
        <v>358984.5</v>
      </c>
      <c r="H108" s="83">
        <f t="shared" si="29"/>
        <v>1.5933712398473574</v>
      </c>
      <c r="I108" s="83">
        <f t="shared" ref="I108:I113" si="41">1/H108</f>
        <v>0.62760013171556839</v>
      </c>
      <c r="J108" s="48">
        <f t="shared" si="30"/>
        <v>225298.71948384747</v>
      </c>
      <c r="K108" s="11"/>
      <c r="L108" s="49">
        <f t="shared" si="27"/>
        <v>66</v>
      </c>
      <c r="M108" s="78">
        <f t="shared" si="27"/>
        <v>46996</v>
      </c>
      <c r="N108" s="49">
        <f t="shared" si="22"/>
        <v>1443753.1328845657</v>
      </c>
      <c r="O108" s="49">
        <f t="shared" si="31"/>
        <v>358984.5</v>
      </c>
      <c r="P108" s="49">
        <f t="shared" si="32"/>
        <v>10226.584691265674</v>
      </c>
      <c r="Q108" s="49">
        <f t="shared" ref="Q108:Q113" si="42">O108-P108</f>
        <v>348757.91530873434</v>
      </c>
      <c r="R108" s="49">
        <f t="shared" ref="R108:R113" si="43">N108-Q108</f>
        <v>1094995.2175758313</v>
      </c>
      <c r="S108" s="11"/>
      <c r="T108" s="85">
        <f t="shared" si="33"/>
        <v>66</v>
      </c>
      <c r="U108" s="86">
        <f t="shared" ref="U108:U113" si="44">U107</f>
        <v>278582.12546542624</v>
      </c>
      <c r="V108" s="48">
        <f t="shared" si="23"/>
        <v>10226.584691265674</v>
      </c>
      <c r="W108" s="48">
        <f t="shared" si="26"/>
        <v>288808.7101566919</v>
      </c>
      <c r="X108" s="11"/>
      <c r="Y108" s="85">
        <f t="shared" si="34"/>
        <v>66</v>
      </c>
      <c r="Z108" s="87">
        <f t="shared" si="35"/>
        <v>46996</v>
      </c>
      <c r="AA108" s="86">
        <f t="shared" si="24"/>
        <v>1671492.7527925381</v>
      </c>
      <c r="AB108" s="80">
        <f t="shared" si="36"/>
        <v>278582.12546542624</v>
      </c>
      <c r="AC108" s="86">
        <f t="shared" ref="AC108:AC113" si="45">AC107+AB108</f>
        <v>18665002.406183574</v>
      </c>
      <c r="AD108" s="48">
        <f t="shared" si="37"/>
        <v>1392910.627327112</v>
      </c>
      <c r="AE108" s="11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</row>
    <row r="109" spans="1:49" s="3" customFormat="1" x14ac:dyDescent="0.35">
      <c r="A109" s="6"/>
      <c r="B109" s="47">
        <f t="shared" si="38"/>
        <v>67</v>
      </c>
      <c r="C109" s="82">
        <v>47026</v>
      </c>
      <c r="D109" s="74">
        <f t="shared" si="39"/>
        <v>358984.5</v>
      </c>
      <c r="E109" s="75">
        <v>0</v>
      </c>
      <c r="F109" s="75">
        <f t="shared" si="40"/>
        <v>683780</v>
      </c>
      <c r="G109" s="48">
        <f t="shared" si="28"/>
        <v>358984.5</v>
      </c>
      <c r="H109" s="83">
        <f t="shared" si="29"/>
        <v>1.6046576194629425</v>
      </c>
      <c r="I109" s="83">
        <f t="shared" si="41"/>
        <v>0.62318589826949289</v>
      </c>
      <c r="J109" s="48">
        <f t="shared" si="30"/>
        <v>223714.07809732476</v>
      </c>
      <c r="K109" s="11"/>
      <c r="L109" s="49">
        <f t="shared" si="27"/>
        <v>67</v>
      </c>
      <c r="M109" s="78">
        <f t="shared" si="27"/>
        <v>47026</v>
      </c>
      <c r="N109" s="49">
        <f t="shared" ref="N109:N113" si="46">R108</f>
        <v>1094995.2175758313</v>
      </c>
      <c r="O109" s="49">
        <f t="shared" si="31"/>
        <v>358984.5</v>
      </c>
      <c r="P109" s="49">
        <f t="shared" si="32"/>
        <v>7756.2161244954723</v>
      </c>
      <c r="Q109" s="49">
        <f t="shared" si="42"/>
        <v>351228.28387550451</v>
      </c>
      <c r="R109" s="49">
        <f t="shared" si="43"/>
        <v>743766.93370032683</v>
      </c>
      <c r="S109" s="11"/>
      <c r="T109" s="85">
        <f t="shared" si="33"/>
        <v>67</v>
      </c>
      <c r="U109" s="86">
        <f t="shared" si="44"/>
        <v>278582.12546542624</v>
      </c>
      <c r="V109" s="48">
        <f t="shared" ref="V109:V113" si="47">P109</f>
        <v>7756.2161244954723</v>
      </c>
      <c r="W109" s="48">
        <f t="shared" si="26"/>
        <v>286338.34158992174</v>
      </c>
      <c r="X109" s="11"/>
      <c r="Y109" s="85">
        <f t="shared" si="34"/>
        <v>67</v>
      </c>
      <c r="Z109" s="87">
        <f t="shared" si="35"/>
        <v>47026</v>
      </c>
      <c r="AA109" s="86">
        <f t="shared" ref="AA109:AA113" si="48">AD108</f>
        <v>1392910.627327112</v>
      </c>
      <c r="AB109" s="80">
        <f t="shared" si="36"/>
        <v>278582.12546542624</v>
      </c>
      <c r="AC109" s="86">
        <f t="shared" si="45"/>
        <v>18943584.531649001</v>
      </c>
      <c r="AD109" s="48">
        <f t="shared" si="37"/>
        <v>1114328.5018616859</v>
      </c>
      <c r="AE109" s="11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</row>
    <row r="110" spans="1:49" s="3" customFormat="1" x14ac:dyDescent="0.35">
      <c r="A110" s="6"/>
      <c r="B110" s="47">
        <f t="shared" si="38"/>
        <v>68</v>
      </c>
      <c r="C110" s="82">
        <v>47057</v>
      </c>
      <c r="D110" s="74">
        <f t="shared" si="39"/>
        <v>358984.5</v>
      </c>
      <c r="E110" s="75">
        <v>0</v>
      </c>
      <c r="F110" s="75">
        <f t="shared" si="40"/>
        <v>683780</v>
      </c>
      <c r="G110" s="48">
        <f t="shared" si="28"/>
        <v>358984.5</v>
      </c>
      <c r="H110" s="83">
        <f t="shared" si="29"/>
        <v>1.616023944267472</v>
      </c>
      <c r="I110" s="83">
        <f t="shared" si="41"/>
        <v>0.61880271239006324</v>
      </c>
      <c r="J110" s="48">
        <f t="shared" si="30"/>
        <v>222140.58230599065</v>
      </c>
      <c r="K110" s="11"/>
      <c r="L110" s="49">
        <f t="shared" si="27"/>
        <v>68</v>
      </c>
      <c r="M110" s="78">
        <f t="shared" si="27"/>
        <v>47057</v>
      </c>
      <c r="N110" s="49">
        <f t="shared" si="46"/>
        <v>743766.93370032683</v>
      </c>
      <c r="O110" s="49">
        <f t="shared" si="31"/>
        <v>358984.5</v>
      </c>
      <c r="P110" s="49">
        <f t="shared" si="32"/>
        <v>5268.3491137106485</v>
      </c>
      <c r="Q110" s="49">
        <f t="shared" si="42"/>
        <v>353716.15088628937</v>
      </c>
      <c r="R110" s="49">
        <f t="shared" si="43"/>
        <v>390050.78281403746</v>
      </c>
      <c r="S110" s="11"/>
      <c r="T110" s="85">
        <f t="shared" si="33"/>
        <v>68</v>
      </c>
      <c r="U110" s="86">
        <f t="shared" si="44"/>
        <v>278582.12546542624</v>
      </c>
      <c r="V110" s="48">
        <f t="shared" si="47"/>
        <v>5268.3491137106485</v>
      </c>
      <c r="W110" s="48">
        <f t="shared" si="26"/>
        <v>283850.47457913688</v>
      </c>
      <c r="X110" s="11"/>
      <c r="Y110" s="85">
        <f t="shared" si="34"/>
        <v>68</v>
      </c>
      <c r="Z110" s="87">
        <f t="shared" si="35"/>
        <v>47057</v>
      </c>
      <c r="AA110" s="86">
        <f t="shared" si="48"/>
        <v>1114328.5018616859</v>
      </c>
      <c r="AB110" s="80">
        <f t="shared" si="36"/>
        <v>278582.12546542624</v>
      </c>
      <c r="AC110" s="86">
        <f t="shared" si="45"/>
        <v>19222166.657114428</v>
      </c>
      <c r="AD110" s="48">
        <f t="shared" si="37"/>
        <v>835746.37639625964</v>
      </c>
      <c r="AE110" s="11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</row>
    <row r="111" spans="1:49" s="3" customFormat="1" x14ac:dyDescent="0.35">
      <c r="A111" s="6"/>
      <c r="B111" s="47">
        <f t="shared" si="38"/>
        <v>69</v>
      </c>
      <c r="C111" s="82">
        <v>47087</v>
      </c>
      <c r="D111" s="74">
        <f t="shared" si="39"/>
        <v>358984.5</v>
      </c>
      <c r="E111" s="75">
        <v>0</v>
      </c>
      <c r="F111" s="75">
        <f t="shared" si="40"/>
        <v>683780</v>
      </c>
      <c r="G111" s="48">
        <f t="shared" si="28"/>
        <v>358984.5</v>
      </c>
      <c r="H111" s="83">
        <f t="shared" si="29"/>
        <v>1.6274707805393664</v>
      </c>
      <c r="I111" s="83">
        <f t="shared" si="41"/>
        <v>0.61445035570382778</v>
      </c>
      <c r="J111" s="48">
        <f t="shared" si="30"/>
        <v>220578.15371716075</v>
      </c>
      <c r="K111" s="11"/>
      <c r="L111" s="49">
        <f t="shared" si="27"/>
        <v>69</v>
      </c>
      <c r="M111" s="78">
        <f t="shared" si="27"/>
        <v>47087</v>
      </c>
      <c r="N111" s="49">
        <f t="shared" si="46"/>
        <v>390050.78281403746</v>
      </c>
      <c r="O111" s="49">
        <f t="shared" si="31"/>
        <v>358984.5</v>
      </c>
      <c r="P111" s="49">
        <f t="shared" si="32"/>
        <v>2762.8597115994321</v>
      </c>
      <c r="Q111" s="49">
        <f t="shared" si="42"/>
        <v>356221.64028840058</v>
      </c>
      <c r="R111" s="49">
        <f t="shared" si="43"/>
        <v>33829.142525636882</v>
      </c>
      <c r="S111" s="11"/>
      <c r="T111" s="85">
        <f t="shared" si="33"/>
        <v>69</v>
      </c>
      <c r="U111" s="86">
        <f t="shared" si="44"/>
        <v>278582.12546542624</v>
      </c>
      <c r="V111" s="48">
        <f t="shared" si="47"/>
        <v>2762.8597115994321</v>
      </c>
      <c r="W111" s="48">
        <f t="shared" si="26"/>
        <v>281344.98517702566</v>
      </c>
      <c r="X111" s="11"/>
      <c r="Y111" s="85">
        <f t="shared" si="34"/>
        <v>69</v>
      </c>
      <c r="Z111" s="87">
        <f t="shared" si="35"/>
        <v>47087</v>
      </c>
      <c r="AA111" s="86">
        <f t="shared" si="48"/>
        <v>835746.37639625964</v>
      </c>
      <c r="AB111" s="80">
        <f t="shared" si="36"/>
        <v>278582.12546542624</v>
      </c>
      <c r="AC111" s="86">
        <f t="shared" si="45"/>
        <v>19500748.782579854</v>
      </c>
      <c r="AD111" s="48">
        <f t="shared" si="37"/>
        <v>557164.2509308334</v>
      </c>
      <c r="AE111" s="11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</row>
    <row r="112" spans="1:49" s="3" customFormat="1" x14ac:dyDescent="0.35">
      <c r="A112" s="6"/>
      <c r="B112" s="47">
        <f t="shared" si="38"/>
        <v>70</v>
      </c>
      <c r="C112" s="82">
        <v>47118</v>
      </c>
      <c r="D112" s="74">
        <f>D111</f>
        <v>358984.5</v>
      </c>
      <c r="E112" s="75">
        <v>341890</v>
      </c>
      <c r="F112" s="75">
        <f t="shared" si="40"/>
        <v>341890</v>
      </c>
      <c r="G112" s="48">
        <f t="shared" si="28"/>
        <v>17094.5</v>
      </c>
      <c r="H112" s="83">
        <f t="shared" si="29"/>
        <v>1.6389986985681873</v>
      </c>
      <c r="I112" s="83">
        <f t="shared" si="41"/>
        <v>0.61012861137326702</v>
      </c>
      <c r="J112" s="48">
        <f t="shared" si="30"/>
        <v>10429.843547120314</v>
      </c>
      <c r="K112" s="11"/>
      <c r="L112" s="49">
        <f t="shared" si="27"/>
        <v>70</v>
      </c>
      <c r="M112" s="78">
        <f t="shared" si="27"/>
        <v>47118</v>
      </c>
      <c r="N112" s="49">
        <f t="shared" si="46"/>
        <v>33829.142525636882</v>
      </c>
      <c r="O112" s="49">
        <f t="shared" si="31"/>
        <v>17094.5</v>
      </c>
      <c r="P112" s="49">
        <f t="shared" si="32"/>
        <v>239.62309288992793</v>
      </c>
      <c r="Q112" s="49">
        <f t="shared" si="42"/>
        <v>16854.876907110072</v>
      </c>
      <c r="R112" s="49">
        <f t="shared" si="43"/>
        <v>16974.26561852681</v>
      </c>
      <c r="S112" s="11"/>
      <c r="T112" s="85">
        <f t="shared" si="33"/>
        <v>70</v>
      </c>
      <c r="U112" s="86">
        <f t="shared" si="44"/>
        <v>278582.12546542624</v>
      </c>
      <c r="V112" s="48">
        <f t="shared" si="47"/>
        <v>239.62309288992793</v>
      </c>
      <c r="W112" s="48">
        <f t="shared" si="26"/>
        <v>278821.74855831615</v>
      </c>
      <c r="X112" s="11"/>
      <c r="Y112" s="85">
        <f t="shared" si="34"/>
        <v>70</v>
      </c>
      <c r="Z112" s="87">
        <f t="shared" si="35"/>
        <v>47118</v>
      </c>
      <c r="AA112" s="86">
        <f t="shared" si="48"/>
        <v>557164.2509308334</v>
      </c>
      <c r="AB112" s="80">
        <f t="shared" si="36"/>
        <v>278582.12546542624</v>
      </c>
      <c r="AC112" s="86">
        <f t="shared" si="45"/>
        <v>19779330.908045281</v>
      </c>
      <c r="AD112" s="48">
        <f t="shared" si="37"/>
        <v>278582.12546540715</v>
      </c>
      <c r="AE112" s="11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</row>
    <row r="113" spans="1:79" s="3" customFormat="1" x14ac:dyDescent="0.35">
      <c r="A113" s="6"/>
      <c r="B113" s="47">
        <f t="shared" si="38"/>
        <v>71</v>
      </c>
      <c r="C113" s="82">
        <v>47149</v>
      </c>
      <c r="D113" s="74">
        <f t="shared" ref="D113" si="49">D112</f>
        <v>358984.5</v>
      </c>
      <c r="E113" s="75">
        <f>E112</f>
        <v>341890</v>
      </c>
      <c r="F113" s="75">
        <f t="shared" si="40"/>
        <v>0</v>
      </c>
      <c r="G113" s="48">
        <f t="shared" si="28"/>
        <v>17094.5</v>
      </c>
      <c r="H113" s="83">
        <f t="shared" si="29"/>
        <v>1.6506082726830449</v>
      </c>
      <c r="I113" s="83">
        <f t="shared" si="41"/>
        <v>0.60583726408599137</v>
      </c>
      <c r="J113" s="48">
        <f t="shared" si="30"/>
        <v>10356.48511091798</v>
      </c>
      <c r="K113" s="11"/>
      <c r="L113" s="49">
        <f t="shared" si="27"/>
        <v>71</v>
      </c>
      <c r="M113" s="78">
        <f t="shared" si="27"/>
        <v>47149</v>
      </c>
      <c r="N113" s="49">
        <f t="shared" si="46"/>
        <v>16974.26561852681</v>
      </c>
      <c r="O113" s="49">
        <f t="shared" si="31"/>
        <v>17094.5</v>
      </c>
      <c r="P113" s="49">
        <f t="shared" si="32"/>
        <v>120.2343814645649</v>
      </c>
      <c r="Q113" s="49">
        <f t="shared" si="42"/>
        <v>16974.265618535435</v>
      </c>
      <c r="R113" s="49">
        <f t="shared" si="43"/>
        <v>-8.6256477516144514E-9</v>
      </c>
      <c r="S113" s="11"/>
      <c r="T113" s="85">
        <f t="shared" si="33"/>
        <v>71</v>
      </c>
      <c r="U113" s="86">
        <f t="shared" si="44"/>
        <v>278582.12546542624</v>
      </c>
      <c r="V113" s="48">
        <f t="shared" si="47"/>
        <v>120.2343814645649</v>
      </c>
      <c r="W113" s="48">
        <f t="shared" si="26"/>
        <v>278702.35984689079</v>
      </c>
      <c r="X113" s="11"/>
      <c r="Y113" s="85">
        <f t="shared" si="34"/>
        <v>71</v>
      </c>
      <c r="Z113" s="87">
        <f t="shared" si="35"/>
        <v>47149</v>
      </c>
      <c r="AA113" s="86">
        <f t="shared" si="48"/>
        <v>278582.12546540715</v>
      </c>
      <c r="AB113" s="80">
        <f t="shared" si="36"/>
        <v>278582.12546542624</v>
      </c>
      <c r="AC113" s="86">
        <f t="shared" si="45"/>
        <v>20057913.033510707</v>
      </c>
      <c r="AD113" s="48">
        <f t="shared" si="37"/>
        <v>-1.909211277961731E-8</v>
      </c>
      <c r="AE113" s="11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</row>
    <row r="114" spans="1:79" s="3" customFormat="1" ht="14.25" x14ac:dyDescent="0.55000000000000004">
      <c r="A114" s="6"/>
      <c r="B114" s="6"/>
      <c r="C114" s="2"/>
      <c r="D114" s="2"/>
      <c r="E114" s="2"/>
      <c r="J114" s="88">
        <f>SUM(J42:J113)</f>
        <v>19374133.033510689</v>
      </c>
      <c r="L114" s="4"/>
      <c r="M114" s="5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</row>
    <row r="116" spans="1:79" customFormat="1" ht="14.25" x14ac:dyDescent="0.45">
      <c r="A116" s="89" t="s">
        <v>92</v>
      </c>
      <c r="B116" s="89"/>
      <c r="C116" s="90"/>
      <c r="G116" s="32"/>
      <c r="H116" s="32"/>
      <c r="I116" s="32"/>
      <c r="J116" s="32"/>
      <c r="K116" s="32"/>
      <c r="L116" s="32"/>
      <c r="M116" s="32"/>
      <c r="N116" s="32"/>
      <c r="O116" s="91"/>
      <c r="P116" s="32"/>
      <c r="Q116" s="32"/>
      <c r="R116" s="32"/>
      <c r="S116" s="32"/>
      <c r="T116" s="32"/>
      <c r="U116" s="32"/>
    </row>
    <row r="117" spans="1:79" customFormat="1" ht="14.25" x14ac:dyDescent="0.45">
      <c r="A117" s="89" t="s">
        <v>63</v>
      </c>
      <c r="B117" s="89"/>
      <c r="C117" s="90"/>
      <c r="H117" s="32"/>
      <c r="I117" s="32"/>
      <c r="J117" s="32"/>
      <c r="K117" s="32"/>
      <c r="L117" s="32"/>
      <c r="M117" s="32"/>
      <c r="N117" s="32"/>
      <c r="O117" s="91"/>
      <c r="P117" s="32"/>
      <c r="Q117" s="32"/>
      <c r="R117" s="32"/>
      <c r="S117" s="32"/>
      <c r="T117" s="32"/>
      <c r="U117" s="32"/>
      <c r="V117" s="32"/>
    </row>
    <row r="118" spans="1:79" customFormat="1" ht="14.65" thickBot="1" x14ac:dyDescent="0.5">
      <c r="C118" s="90"/>
    </row>
    <row r="119" spans="1:79" customFormat="1" ht="14.65" thickBot="1" x14ac:dyDescent="0.5">
      <c r="A119" s="92" t="s">
        <v>64</v>
      </c>
      <c r="B119" s="93"/>
      <c r="C119" s="94" t="s">
        <v>65</v>
      </c>
      <c r="D119" s="95" t="s">
        <v>66</v>
      </c>
      <c r="E119" s="96"/>
      <c r="F119" s="94" t="s">
        <v>67</v>
      </c>
      <c r="G119" s="94" t="s">
        <v>68</v>
      </c>
      <c r="H119" s="97">
        <v>44958</v>
      </c>
      <c r="I119" s="97">
        <v>44986</v>
      </c>
      <c r="J119" s="97">
        <v>45017</v>
      </c>
      <c r="K119" s="97">
        <v>45047</v>
      </c>
      <c r="L119" s="97">
        <v>45078</v>
      </c>
      <c r="M119" s="97">
        <v>45108</v>
      </c>
      <c r="N119" s="97">
        <v>45139</v>
      </c>
      <c r="O119" s="97">
        <v>45170</v>
      </c>
      <c r="P119" s="97">
        <v>45200</v>
      </c>
      <c r="Q119" s="97">
        <v>45231</v>
      </c>
      <c r="R119" s="97">
        <v>45261</v>
      </c>
      <c r="S119" s="97">
        <v>45292</v>
      </c>
      <c r="T119" s="97">
        <v>45323</v>
      </c>
      <c r="U119" s="97">
        <v>45352</v>
      </c>
      <c r="V119" s="97">
        <v>45383</v>
      </c>
      <c r="W119" s="97">
        <v>45413</v>
      </c>
      <c r="X119" s="97">
        <v>45444</v>
      </c>
      <c r="Y119" s="97">
        <v>45474</v>
      </c>
      <c r="Z119" s="97">
        <v>45505</v>
      </c>
      <c r="AA119" s="97">
        <v>45536</v>
      </c>
      <c r="AB119" s="97">
        <v>45566</v>
      </c>
      <c r="AC119" s="97">
        <v>45597</v>
      </c>
      <c r="AD119" s="97">
        <v>45627</v>
      </c>
      <c r="AE119" s="97">
        <v>45658</v>
      </c>
      <c r="AF119" s="97">
        <v>45689</v>
      </c>
      <c r="AG119" s="97">
        <v>45717</v>
      </c>
      <c r="AH119" s="97">
        <v>45748</v>
      </c>
      <c r="AI119" s="97">
        <v>45778</v>
      </c>
      <c r="AJ119" s="97">
        <v>45809</v>
      </c>
      <c r="AK119" s="97">
        <v>45839</v>
      </c>
      <c r="AL119" s="97">
        <v>45870</v>
      </c>
      <c r="AM119" s="97">
        <v>45901</v>
      </c>
      <c r="AN119" s="97">
        <v>45931</v>
      </c>
      <c r="AO119" s="97">
        <v>45962</v>
      </c>
      <c r="AP119" s="97">
        <v>45992</v>
      </c>
      <c r="AQ119" s="97">
        <v>46023</v>
      </c>
      <c r="AR119" s="97">
        <v>46054</v>
      </c>
      <c r="AS119" s="97">
        <v>46082</v>
      </c>
      <c r="AT119" s="97">
        <v>46113</v>
      </c>
      <c r="AU119" s="97">
        <v>46143</v>
      </c>
      <c r="AV119" s="97">
        <v>46174</v>
      </c>
      <c r="AW119" s="97">
        <v>46204</v>
      </c>
      <c r="AX119" s="97">
        <v>46235</v>
      </c>
      <c r="AY119" s="97">
        <v>46266</v>
      </c>
      <c r="AZ119" s="97">
        <v>46296</v>
      </c>
      <c r="BA119" s="97">
        <v>46327</v>
      </c>
      <c r="BB119" s="97">
        <v>46357</v>
      </c>
      <c r="BC119" s="97">
        <v>46388</v>
      </c>
      <c r="BD119" s="97">
        <v>46419</v>
      </c>
      <c r="BE119" s="97">
        <v>46447</v>
      </c>
      <c r="BF119" s="97">
        <v>46478</v>
      </c>
      <c r="BG119" s="97">
        <v>46508</v>
      </c>
      <c r="BH119" s="97">
        <v>46539</v>
      </c>
      <c r="BI119" s="97">
        <v>46569</v>
      </c>
      <c r="BJ119" s="97">
        <v>46600</v>
      </c>
      <c r="BK119" s="97">
        <v>46631</v>
      </c>
      <c r="BL119" s="97">
        <v>46661</v>
      </c>
      <c r="BM119" s="97">
        <v>46692</v>
      </c>
      <c r="BN119" s="97">
        <v>46722</v>
      </c>
      <c r="BO119" s="97">
        <v>46753</v>
      </c>
      <c r="BP119" s="97">
        <v>46784</v>
      </c>
      <c r="BQ119" s="97">
        <v>46813</v>
      </c>
      <c r="BR119" s="97">
        <v>46844</v>
      </c>
      <c r="BS119" s="97">
        <v>46874</v>
      </c>
      <c r="BT119" s="97">
        <v>46905</v>
      </c>
      <c r="BU119" s="97">
        <v>46935</v>
      </c>
      <c r="BV119" s="97">
        <v>46966</v>
      </c>
      <c r="BW119" s="97">
        <v>46997</v>
      </c>
      <c r="BX119" s="97">
        <v>47027</v>
      </c>
      <c r="BY119" s="97">
        <v>47058</v>
      </c>
      <c r="BZ119" s="97">
        <v>47088</v>
      </c>
      <c r="CA119" s="97">
        <v>47119</v>
      </c>
    </row>
    <row r="120" spans="1:79" customFormat="1" ht="14.25" x14ac:dyDescent="0.45">
      <c r="C120" s="98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AA120" s="99"/>
    </row>
    <row r="121" spans="1:79" customFormat="1" ht="15" customHeight="1" x14ac:dyDescent="0.45">
      <c r="A121" s="135" t="s">
        <v>69</v>
      </c>
      <c r="B121" s="135"/>
      <c r="C121" s="100" t="s">
        <v>124</v>
      </c>
      <c r="D121" s="101" t="s">
        <v>70</v>
      </c>
      <c r="E121" s="101"/>
      <c r="F121" s="102" t="s">
        <v>71</v>
      </c>
      <c r="G121" s="101" t="s">
        <v>72</v>
      </c>
      <c r="H121" s="103" cm="1">
        <f t="array" ref="H121:CA121">TRANSPOSE(Q42:Q113)</f>
        <v>341890</v>
      </c>
      <c r="I121" s="103">
        <v>207078.27851263262</v>
      </c>
      <c r="J121" s="103">
        <v>208545.08298543043</v>
      </c>
      <c r="K121" s="103">
        <v>210022.27732324391</v>
      </c>
      <c r="L121" s="103">
        <v>211509.93512095022</v>
      </c>
      <c r="M121" s="103">
        <v>213008.13049472362</v>
      </c>
      <c r="N121" s="103">
        <v>214516.93808572792</v>
      </c>
      <c r="O121" s="103">
        <v>216036.43306383514</v>
      </c>
      <c r="P121" s="103">
        <v>217566.69113137067</v>
      </c>
      <c r="Q121" s="103">
        <v>219107.78852688451</v>
      </c>
      <c r="R121" s="103">
        <v>220659.80202894995</v>
      </c>
      <c r="S121" s="103">
        <v>222222.80895998835</v>
      </c>
      <c r="T121" s="103">
        <v>223796.88719012163</v>
      </c>
      <c r="U121" s="103">
        <v>225382.11514105165</v>
      </c>
      <c r="V121" s="103">
        <v>226978.57178996742</v>
      </c>
      <c r="W121" s="104">
        <v>228586.3366734797</v>
      </c>
      <c r="X121" s="104">
        <v>230205.48989158351</v>
      </c>
      <c r="Y121" s="104">
        <v>231836.11211164889</v>
      </c>
      <c r="Z121" s="104">
        <v>233478.28457243973</v>
      </c>
      <c r="AA121" s="105">
        <v>235132.08908816118</v>
      </c>
      <c r="AB121" s="104">
        <v>236797.60805253565</v>
      </c>
      <c r="AC121" s="104">
        <v>238474.9244429078</v>
      </c>
      <c r="AD121" s="104">
        <v>240164.12182437838</v>
      </c>
      <c r="AE121" s="104">
        <v>241865.2843539677</v>
      </c>
      <c r="AF121" s="104">
        <v>243578.49678480832</v>
      </c>
      <c r="AG121" s="104">
        <v>245303.84447036736</v>
      </c>
      <c r="AH121" s="104">
        <v>247041.41336869914</v>
      </c>
      <c r="AI121" s="104">
        <v>248791.29004672743</v>
      </c>
      <c r="AJ121" s="104">
        <v>250553.5616845584</v>
      </c>
      <c r="AK121" s="104">
        <v>252328.31607982403</v>
      </c>
      <c r="AL121" s="104">
        <v>254115.64165205613</v>
      </c>
      <c r="AM121" s="104">
        <v>255915.62744709151</v>
      </c>
      <c r="AN121" s="104">
        <v>257728.36314150842</v>
      </c>
      <c r="AO121" s="104">
        <v>259553.93904709409</v>
      </c>
      <c r="AP121" s="104">
        <v>261392.44611534436</v>
      </c>
      <c r="AQ121" s="104">
        <v>263243.97594199469</v>
      </c>
      <c r="AR121" s="104">
        <v>282203.12077158387</v>
      </c>
      <c r="AS121" s="104">
        <v>284202.05954371591</v>
      </c>
      <c r="AT121" s="104">
        <v>286215.15746548388</v>
      </c>
      <c r="AU121" s="104">
        <v>288242.51483086438</v>
      </c>
      <c r="AV121" s="104">
        <v>290284.23264424969</v>
      </c>
      <c r="AW121" s="104">
        <v>292340.4126254798</v>
      </c>
      <c r="AX121" s="104">
        <v>294411.15721491026</v>
      </c>
      <c r="AY121" s="104">
        <v>296496.56957851589</v>
      </c>
      <c r="AZ121" s="104">
        <v>298596.75361303036</v>
      </c>
      <c r="BA121" s="104">
        <v>300711.81395112269</v>
      </c>
      <c r="BB121" s="104">
        <v>302841.85596660979</v>
      </c>
      <c r="BC121" s="104">
        <v>304986.98577970662</v>
      </c>
      <c r="BD121" s="104">
        <v>307147.31026231288</v>
      </c>
      <c r="BE121" s="104">
        <v>309322.93704333756</v>
      </c>
      <c r="BF121" s="104">
        <v>311513.97451406124</v>
      </c>
      <c r="BG121" s="104">
        <v>313720.53183353582</v>
      </c>
      <c r="BH121" s="104">
        <v>315942.71893402335</v>
      </c>
      <c r="BI121" s="104">
        <v>318180.6465264727</v>
      </c>
      <c r="BJ121" s="104">
        <v>320434.42610603524</v>
      </c>
      <c r="BK121" s="104">
        <v>322704.16995761963</v>
      </c>
      <c r="BL121" s="104">
        <v>324989.99116148613</v>
      </c>
      <c r="BM121" s="104">
        <v>327292.00359887996</v>
      </c>
      <c r="BN121" s="104">
        <v>329610.32195770537</v>
      </c>
      <c r="BO121" s="104">
        <v>331945.06173823914</v>
      </c>
      <c r="BP121" s="104">
        <v>334296.33925888495</v>
      </c>
      <c r="BQ121" s="104">
        <v>336664.27166196873</v>
      </c>
      <c r="BR121" s="104">
        <v>339048.97691957437</v>
      </c>
      <c r="BS121" s="104">
        <v>341450.57383942133</v>
      </c>
      <c r="BT121" s="104">
        <v>343869.18207078392</v>
      </c>
      <c r="BU121" s="104">
        <v>346304.92211045197</v>
      </c>
      <c r="BV121" s="104">
        <v>348757.91530873434</v>
      </c>
      <c r="BW121" s="104">
        <v>351228.28387550451</v>
      </c>
      <c r="BX121" s="104">
        <v>353716.15088628937</v>
      </c>
      <c r="BY121" s="104">
        <v>356221.64028840058</v>
      </c>
      <c r="BZ121" s="104">
        <v>16854.876907110072</v>
      </c>
      <c r="CA121" s="104">
        <v>16974.265618535435</v>
      </c>
    </row>
    <row r="122" spans="1:79" customFormat="1" ht="14.25" x14ac:dyDescent="0.45">
      <c r="A122" s="137"/>
      <c r="B122" s="137"/>
      <c r="C122" s="107" t="s">
        <v>125</v>
      </c>
      <c r="D122" s="99" t="s">
        <v>73</v>
      </c>
      <c r="E122" s="99"/>
      <c r="F122" s="108" t="s">
        <v>71</v>
      </c>
      <c r="G122" s="99" t="s">
        <v>27</v>
      </c>
      <c r="H122" s="109" cm="1">
        <f t="array" ref="H122:CA122">TRANSPOSE(P42:P113)</f>
        <v>0</v>
      </c>
      <c r="I122" s="109">
        <v>134811.72148736738</v>
      </c>
      <c r="J122" s="109">
        <v>133344.91701456957</v>
      </c>
      <c r="K122" s="109">
        <v>131867.72267675609</v>
      </c>
      <c r="L122" s="109">
        <v>130380.06487904979</v>
      </c>
      <c r="M122" s="109">
        <v>128881.86950527638</v>
      </c>
      <c r="N122" s="109">
        <v>127373.06191427208</v>
      </c>
      <c r="O122" s="109">
        <v>125853.56693616485</v>
      </c>
      <c r="P122" s="109">
        <v>124323.30886862935</v>
      </c>
      <c r="Q122" s="109">
        <v>122782.21147311547</v>
      </c>
      <c r="R122" s="109">
        <v>121230.19797105003</v>
      </c>
      <c r="S122" s="109">
        <v>119667.19104001163</v>
      </c>
      <c r="T122" s="109">
        <v>118093.11280987838</v>
      </c>
      <c r="U122" s="109">
        <v>116507.88485894834</v>
      </c>
      <c r="V122" s="109">
        <v>114911.42821003257</v>
      </c>
      <c r="W122" s="110">
        <v>113303.6633265203</v>
      </c>
      <c r="X122" s="110">
        <v>111684.51010841649</v>
      </c>
      <c r="Y122" s="110">
        <v>110053.88788835111</v>
      </c>
      <c r="Z122" s="110">
        <v>108411.71542756027</v>
      </c>
      <c r="AA122" s="111">
        <v>106757.91091183882</v>
      </c>
      <c r="AB122" s="110">
        <v>105092.39194746435</v>
      </c>
      <c r="AC122" s="110">
        <v>103415.07555709222</v>
      </c>
      <c r="AD122" s="110">
        <v>101725.87817562163</v>
      </c>
      <c r="AE122" s="110">
        <v>100024.71564603229</v>
      </c>
      <c r="AF122" s="110">
        <v>98311.503215191682</v>
      </c>
      <c r="AG122" s="110">
        <v>96586.155529632626</v>
      </c>
      <c r="AH122" s="110">
        <v>94848.586631300859</v>
      </c>
      <c r="AI122" s="110">
        <v>93098.70995327257</v>
      </c>
      <c r="AJ122" s="110">
        <v>91336.438315441585</v>
      </c>
      <c r="AK122" s="110">
        <v>89561.683920175972</v>
      </c>
      <c r="AL122" s="110">
        <v>87774.358347943882</v>
      </c>
      <c r="AM122" s="110">
        <v>85974.372552908491</v>
      </c>
      <c r="AN122" s="110">
        <v>84161.636858491591</v>
      </c>
      <c r="AO122" s="110">
        <v>82336.0609529059</v>
      </c>
      <c r="AP122" s="110">
        <v>80497.553884655645</v>
      </c>
      <c r="AQ122" s="110">
        <v>78646.024058005292</v>
      </c>
      <c r="AR122" s="110">
        <v>76781.379228416161</v>
      </c>
      <c r="AS122" s="110">
        <v>74782.440456284108</v>
      </c>
      <c r="AT122" s="110">
        <v>72769.342534516123</v>
      </c>
      <c r="AU122" s="110">
        <v>70741.985169135616</v>
      </c>
      <c r="AV122" s="110">
        <v>68700.267355750315</v>
      </c>
      <c r="AW122" s="110">
        <v>66644.087374520212</v>
      </c>
      <c r="AX122" s="110">
        <v>64573.342785089721</v>
      </c>
      <c r="AY122" s="110">
        <v>62487.93042148411</v>
      </c>
      <c r="AZ122" s="110">
        <v>60387.746386969629</v>
      </c>
      <c r="BA122" s="110">
        <v>58272.686048877331</v>
      </c>
      <c r="BB122" s="110">
        <v>56142.644033390214</v>
      </c>
      <c r="BC122" s="110">
        <v>53997.514220293393</v>
      </c>
      <c r="BD122" s="110">
        <v>51837.189737687135</v>
      </c>
      <c r="BE122" s="110">
        <v>49661.562956662419</v>
      </c>
      <c r="BF122" s="110">
        <v>47470.525485938779</v>
      </c>
      <c r="BG122" s="110">
        <v>45263.968166464176</v>
      </c>
      <c r="BH122" s="110">
        <v>43041.781065976633</v>
      </c>
      <c r="BI122" s="110">
        <v>40803.853473527291</v>
      </c>
      <c r="BJ122" s="110">
        <v>38550.073893964778</v>
      </c>
      <c r="BK122" s="110">
        <v>36280.330042380367</v>
      </c>
      <c r="BL122" s="110">
        <v>33994.508838513895</v>
      </c>
      <c r="BM122" s="110">
        <v>31692.496401120039</v>
      </c>
      <c r="BN122" s="110">
        <v>29374.178042294636</v>
      </c>
      <c r="BO122" s="110">
        <v>27039.43826176089</v>
      </c>
      <c r="BP122" s="110">
        <v>24688.160741115029</v>
      </c>
      <c r="BQ122" s="110">
        <v>22320.228338031258</v>
      </c>
      <c r="BR122" s="110">
        <v>19935.523080425646</v>
      </c>
      <c r="BS122" s="110">
        <v>17533.926160578663</v>
      </c>
      <c r="BT122" s="110">
        <v>15115.317929216095</v>
      </c>
      <c r="BU122" s="110">
        <v>12679.577889548042</v>
      </c>
      <c r="BV122" s="110">
        <v>10226.584691265674</v>
      </c>
      <c r="BW122" s="110">
        <v>7756.2161244954723</v>
      </c>
      <c r="BX122" s="110">
        <v>5268.3491137106485</v>
      </c>
      <c r="BY122" s="110">
        <v>2762.8597115994321</v>
      </c>
      <c r="BZ122" s="110">
        <v>239.62309288992793</v>
      </c>
      <c r="CA122" s="110">
        <v>120.2343814645649</v>
      </c>
    </row>
    <row r="123" spans="1:79" customFormat="1" ht="14.25" x14ac:dyDescent="0.45">
      <c r="A123" s="136"/>
      <c r="B123" s="136"/>
      <c r="C123" s="112" t="s">
        <v>74</v>
      </c>
      <c r="D123" s="113" t="s">
        <v>75</v>
      </c>
      <c r="E123" s="113"/>
      <c r="F123" s="114" t="s">
        <v>76</v>
      </c>
      <c r="G123" s="113" t="s">
        <v>77</v>
      </c>
      <c r="H123" s="115">
        <f t="shared" ref="H123:AM123" si="50">-SUM(H121:H122)</f>
        <v>-341890</v>
      </c>
      <c r="I123" s="115">
        <f t="shared" si="50"/>
        <v>-341890</v>
      </c>
      <c r="J123" s="115">
        <f t="shared" si="50"/>
        <v>-341890</v>
      </c>
      <c r="K123" s="115">
        <f t="shared" si="50"/>
        <v>-341890</v>
      </c>
      <c r="L123" s="115">
        <f t="shared" si="50"/>
        <v>-341890</v>
      </c>
      <c r="M123" s="115">
        <f t="shared" si="50"/>
        <v>-341890</v>
      </c>
      <c r="N123" s="115">
        <f t="shared" si="50"/>
        <v>-341890</v>
      </c>
      <c r="O123" s="115">
        <f t="shared" si="50"/>
        <v>-341890</v>
      </c>
      <c r="P123" s="115">
        <f t="shared" si="50"/>
        <v>-341890</v>
      </c>
      <c r="Q123" s="115">
        <f t="shared" si="50"/>
        <v>-341890</v>
      </c>
      <c r="R123" s="115">
        <f t="shared" si="50"/>
        <v>-341890</v>
      </c>
      <c r="S123" s="115">
        <f t="shared" si="50"/>
        <v>-341890</v>
      </c>
      <c r="T123" s="115">
        <f t="shared" si="50"/>
        <v>-341890</v>
      </c>
      <c r="U123" s="115">
        <f t="shared" si="50"/>
        <v>-341890</v>
      </c>
      <c r="V123" s="115">
        <f t="shared" si="50"/>
        <v>-341890</v>
      </c>
      <c r="W123" s="115">
        <f t="shared" si="50"/>
        <v>-341890</v>
      </c>
      <c r="X123" s="115">
        <f t="shared" si="50"/>
        <v>-341890</v>
      </c>
      <c r="Y123" s="115">
        <f t="shared" si="50"/>
        <v>-341890</v>
      </c>
      <c r="Z123" s="115">
        <f t="shared" si="50"/>
        <v>-341890</v>
      </c>
      <c r="AA123" s="115">
        <f t="shared" si="50"/>
        <v>-341890</v>
      </c>
      <c r="AB123" s="115">
        <f t="shared" si="50"/>
        <v>-341890</v>
      </c>
      <c r="AC123" s="115">
        <f t="shared" si="50"/>
        <v>-341890</v>
      </c>
      <c r="AD123" s="115">
        <f t="shared" si="50"/>
        <v>-341890</v>
      </c>
      <c r="AE123" s="115">
        <f t="shared" si="50"/>
        <v>-341890</v>
      </c>
      <c r="AF123" s="115">
        <f t="shared" si="50"/>
        <v>-341890</v>
      </c>
      <c r="AG123" s="115">
        <f t="shared" si="50"/>
        <v>-341890</v>
      </c>
      <c r="AH123" s="115">
        <f t="shared" si="50"/>
        <v>-341890</v>
      </c>
      <c r="AI123" s="115">
        <f t="shared" si="50"/>
        <v>-341890</v>
      </c>
      <c r="AJ123" s="115">
        <f t="shared" si="50"/>
        <v>-341890</v>
      </c>
      <c r="AK123" s="115">
        <f t="shared" si="50"/>
        <v>-341890</v>
      </c>
      <c r="AL123" s="115">
        <f t="shared" si="50"/>
        <v>-341890</v>
      </c>
      <c r="AM123" s="115">
        <f t="shared" si="50"/>
        <v>-341890</v>
      </c>
      <c r="AN123" s="115">
        <f t="shared" ref="AN123:BO123" si="51">-SUM(AN121:AN122)</f>
        <v>-341890</v>
      </c>
      <c r="AO123" s="115">
        <f t="shared" si="51"/>
        <v>-341890</v>
      </c>
      <c r="AP123" s="115">
        <f t="shared" si="51"/>
        <v>-341890</v>
      </c>
      <c r="AQ123" s="115">
        <f t="shared" si="51"/>
        <v>-341890</v>
      </c>
      <c r="AR123" s="115">
        <f t="shared" si="51"/>
        <v>-358984.5</v>
      </c>
      <c r="AS123" s="115">
        <f t="shared" si="51"/>
        <v>-358984.5</v>
      </c>
      <c r="AT123" s="115">
        <f t="shared" si="51"/>
        <v>-358984.5</v>
      </c>
      <c r="AU123" s="115">
        <f t="shared" si="51"/>
        <v>-358984.5</v>
      </c>
      <c r="AV123" s="115">
        <f t="shared" si="51"/>
        <v>-358984.5</v>
      </c>
      <c r="AW123" s="115">
        <f t="shared" si="51"/>
        <v>-358984.5</v>
      </c>
      <c r="AX123" s="115">
        <f t="shared" si="51"/>
        <v>-358984.5</v>
      </c>
      <c r="AY123" s="115">
        <f t="shared" si="51"/>
        <v>-358984.5</v>
      </c>
      <c r="AZ123" s="115">
        <f t="shared" si="51"/>
        <v>-358984.5</v>
      </c>
      <c r="BA123" s="115">
        <f t="shared" si="51"/>
        <v>-358984.5</v>
      </c>
      <c r="BB123" s="115">
        <f t="shared" si="51"/>
        <v>-358984.5</v>
      </c>
      <c r="BC123" s="115">
        <f t="shared" si="51"/>
        <v>-358984.5</v>
      </c>
      <c r="BD123" s="115">
        <f t="shared" si="51"/>
        <v>-358984.5</v>
      </c>
      <c r="BE123" s="115">
        <f t="shared" si="51"/>
        <v>-358984.5</v>
      </c>
      <c r="BF123" s="115">
        <f t="shared" si="51"/>
        <v>-358984.5</v>
      </c>
      <c r="BG123" s="115">
        <f t="shared" si="51"/>
        <v>-358984.5</v>
      </c>
      <c r="BH123" s="115">
        <f t="shared" si="51"/>
        <v>-358984.5</v>
      </c>
      <c r="BI123" s="115">
        <f t="shared" si="51"/>
        <v>-358984.5</v>
      </c>
      <c r="BJ123" s="115">
        <f t="shared" si="51"/>
        <v>-358984.5</v>
      </c>
      <c r="BK123" s="115">
        <f t="shared" si="51"/>
        <v>-358984.5</v>
      </c>
      <c r="BL123" s="115">
        <f t="shared" si="51"/>
        <v>-358984.5</v>
      </c>
      <c r="BM123" s="115">
        <f t="shared" si="51"/>
        <v>-358984.5</v>
      </c>
      <c r="BN123" s="115">
        <f t="shared" si="51"/>
        <v>-358984.5</v>
      </c>
      <c r="BO123" s="115">
        <f t="shared" si="51"/>
        <v>-358984.5</v>
      </c>
      <c r="BP123" s="115">
        <f t="shared" ref="BP123:CA123" si="52">-SUM(BP121:BP122)</f>
        <v>-358984.5</v>
      </c>
      <c r="BQ123" s="115">
        <f t="shared" si="52"/>
        <v>-358984.5</v>
      </c>
      <c r="BR123" s="115">
        <f t="shared" si="52"/>
        <v>-358984.5</v>
      </c>
      <c r="BS123" s="115">
        <f t="shared" si="52"/>
        <v>-358984.5</v>
      </c>
      <c r="BT123" s="115">
        <f t="shared" si="52"/>
        <v>-358984.5</v>
      </c>
      <c r="BU123" s="115">
        <f t="shared" si="52"/>
        <v>-358984.5</v>
      </c>
      <c r="BV123" s="115">
        <f t="shared" si="52"/>
        <v>-358984.5</v>
      </c>
      <c r="BW123" s="115">
        <f t="shared" si="52"/>
        <v>-358984.5</v>
      </c>
      <c r="BX123" s="115">
        <f t="shared" si="52"/>
        <v>-358984.5</v>
      </c>
      <c r="BY123" s="115">
        <f t="shared" si="52"/>
        <v>-358984.5</v>
      </c>
      <c r="BZ123" s="115">
        <f t="shared" si="52"/>
        <v>-17094.5</v>
      </c>
      <c r="CA123" s="115">
        <f t="shared" si="52"/>
        <v>-17094.5</v>
      </c>
    </row>
    <row r="124" spans="1:79" customFormat="1" ht="14.25" x14ac:dyDescent="0.45">
      <c r="A124" s="106"/>
      <c r="B124" s="106"/>
      <c r="C124" s="116"/>
      <c r="D124" s="99"/>
      <c r="E124" s="99"/>
      <c r="F124" s="108"/>
      <c r="G124" s="99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  <c r="AA124" s="117"/>
      <c r="AB124" s="117"/>
      <c r="AC124" s="117"/>
      <c r="AD124" s="117"/>
      <c r="AE124" s="117"/>
      <c r="AF124" s="117"/>
      <c r="AG124" s="117"/>
      <c r="AH124" s="117"/>
      <c r="AI124" s="117"/>
      <c r="AJ124" s="117"/>
      <c r="AK124" s="117"/>
      <c r="AL124" s="117"/>
      <c r="AM124" s="117"/>
      <c r="AN124" s="117"/>
      <c r="AO124" s="117"/>
      <c r="AP124" s="117"/>
      <c r="AQ124" s="117"/>
      <c r="AR124" s="117"/>
      <c r="AS124" s="117"/>
      <c r="AT124" s="117"/>
      <c r="AU124" s="117"/>
      <c r="AV124" s="117"/>
      <c r="AW124" s="117"/>
      <c r="AX124" s="117"/>
      <c r="AY124" s="117"/>
      <c r="AZ124" s="117"/>
      <c r="BA124" s="117"/>
      <c r="BB124" s="117"/>
      <c r="BC124" s="117"/>
      <c r="BD124" s="117"/>
      <c r="BE124" s="117"/>
      <c r="BF124" s="117"/>
      <c r="BG124" s="117"/>
      <c r="BH124" s="117"/>
      <c r="BI124" s="117"/>
      <c r="BJ124" s="117"/>
      <c r="BK124" s="117"/>
      <c r="BL124" s="117"/>
      <c r="BM124" s="117"/>
      <c r="BN124" s="117"/>
      <c r="BO124" s="117"/>
    </row>
    <row r="125" spans="1:79" customFormat="1" ht="14.25" x14ac:dyDescent="0.45">
      <c r="A125" s="106"/>
      <c r="B125" s="106"/>
      <c r="C125" s="116"/>
      <c r="D125" s="99"/>
      <c r="E125" s="99"/>
      <c r="F125" s="108"/>
      <c r="G125" s="99" t="s">
        <v>78</v>
      </c>
      <c r="H125" s="117" cm="1">
        <f t="array" ref="H125:CA125">TRANSPOSE(G42:G113)</f>
        <v>341890</v>
      </c>
      <c r="I125" s="117">
        <v>341890</v>
      </c>
      <c r="J125" s="117">
        <v>341890</v>
      </c>
      <c r="K125" s="117">
        <v>341890</v>
      </c>
      <c r="L125" s="117">
        <v>341890</v>
      </c>
      <c r="M125" s="117">
        <v>341890</v>
      </c>
      <c r="N125" s="117">
        <v>341890</v>
      </c>
      <c r="O125" s="117">
        <v>341890</v>
      </c>
      <c r="P125" s="117">
        <v>341890</v>
      </c>
      <c r="Q125" s="117">
        <v>341890</v>
      </c>
      <c r="R125" s="117">
        <v>341890</v>
      </c>
      <c r="S125" s="117">
        <v>341890</v>
      </c>
      <c r="T125" s="117">
        <v>341890</v>
      </c>
      <c r="U125" s="117">
        <v>341890</v>
      </c>
      <c r="V125" s="117">
        <v>341890</v>
      </c>
      <c r="W125" s="117">
        <v>341890</v>
      </c>
      <c r="X125" s="117">
        <v>341890</v>
      </c>
      <c r="Y125" s="117">
        <v>341890</v>
      </c>
      <c r="Z125" s="117">
        <v>341890</v>
      </c>
      <c r="AA125" s="117">
        <v>341890</v>
      </c>
      <c r="AB125" s="117">
        <v>341890</v>
      </c>
      <c r="AC125" s="117">
        <v>341890</v>
      </c>
      <c r="AD125" s="117">
        <v>341890</v>
      </c>
      <c r="AE125" s="117">
        <v>341890</v>
      </c>
      <c r="AF125" s="117">
        <v>341890</v>
      </c>
      <c r="AG125" s="117">
        <v>341890</v>
      </c>
      <c r="AH125" s="117">
        <v>341890</v>
      </c>
      <c r="AI125" s="117">
        <v>341890</v>
      </c>
      <c r="AJ125" s="117">
        <v>341890</v>
      </c>
      <c r="AK125" s="117">
        <v>341890</v>
      </c>
      <c r="AL125" s="117">
        <v>341890</v>
      </c>
      <c r="AM125" s="117">
        <v>341890</v>
      </c>
      <c r="AN125" s="117">
        <v>341890</v>
      </c>
      <c r="AO125" s="117">
        <v>341890</v>
      </c>
      <c r="AP125" s="117">
        <v>341890</v>
      </c>
      <c r="AQ125" s="117">
        <v>341890</v>
      </c>
      <c r="AR125" s="117">
        <v>358984.5</v>
      </c>
      <c r="AS125" s="117">
        <v>358984.5</v>
      </c>
      <c r="AT125" s="117">
        <v>358984.5</v>
      </c>
      <c r="AU125" s="117">
        <v>358984.5</v>
      </c>
      <c r="AV125" s="117">
        <v>358984.5</v>
      </c>
      <c r="AW125" s="117">
        <v>358984.5</v>
      </c>
      <c r="AX125" s="117">
        <v>358984.5</v>
      </c>
      <c r="AY125" s="117">
        <v>358984.5</v>
      </c>
      <c r="AZ125" s="117">
        <v>358984.5</v>
      </c>
      <c r="BA125" s="117">
        <v>358984.5</v>
      </c>
      <c r="BB125" s="117">
        <v>358984.5</v>
      </c>
      <c r="BC125" s="117">
        <v>358984.5</v>
      </c>
      <c r="BD125" s="117">
        <v>358984.5</v>
      </c>
      <c r="BE125" s="117">
        <v>358984.5</v>
      </c>
      <c r="BF125" s="117">
        <v>358984.5</v>
      </c>
      <c r="BG125" s="117">
        <v>358984.5</v>
      </c>
      <c r="BH125" s="117">
        <v>358984.5</v>
      </c>
      <c r="BI125" s="117">
        <v>358984.5</v>
      </c>
      <c r="BJ125" s="117">
        <v>358984.5</v>
      </c>
      <c r="BK125" s="117">
        <v>358984.5</v>
      </c>
      <c r="BL125" s="117">
        <v>358984.5</v>
      </c>
      <c r="BM125" s="117">
        <v>358984.5</v>
      </c>
      <c r="BN125" s="117">
        <v>358984.5</v>
      </c>
      <c r="BO125" s="117">
        <v>358984.5</v>
      </c>
      <c r="BP125" s="110">
        <v>358984.5</v>
      </c>
      <c r="BQ125" s="110">
        <v>358984.5</v>
      </c>
      <c r="BR125" s="110">
        <v>358984.5</v>
      </c>
      <c r="BS125" s="110">
        <v>358984.5</v>
      </c>
      <c r="BT125" s="110">
        <v>358984.5</v>
      </c>
      <c r="BU125" s="110">
        <v>358984.5</v>
      </c>
      <c r="BV125" s="110">
        <v>358984.5</v>
      </c>
      <c r="BW125" s="110">
        <v>358984.5</v>
      </c>
      <c r="BX125" s="110">
        <v>358984.5</v>
      </c>
      <c r="BY125" s="110">
        <v>358984.5</v>
      </c>
      <c r="BZ125" s="110">
        <v>17094.5</v>
      </c>
      <c r="CA125" s="110">
        <v>17094.5</v>
      </c>
    </row>
    <row r="126" spans="1:79" customFormat="1" ht="14.25" x14ac:dyDescent="0.45">
      <c r="A126" s="106"/>
      <c r="B126" s="106"/>
      <c r="C126" s="116"/>
      <c r="D126" s="99"/>
      <c r="E126" s="99"/>
      <c r="F126" s="108"/>
      <c r="G126" s="99" t="s">
        <v>79</v>
      </c>
      <c r="H126" s="117">
        <f t="shared" ref="H126:BS126" si="53">H121+H122</f>
        <v>341890</v>
      </c>
      <c r="I126" s="117">
        <f t="shared" si="53"/>
        <v>341890</v>
      </c>
      <c r="J126" s="117">
        <f t="shared" si="53"/>
        <v>341890</v>
      </c>
      <c r="K126" s="117">
        <f t="shared" si="53"/>
        <v>341890</v>
      </c>
      <c r="L126" s="117">
        <f t="shared" si="53"/>
        <v>341890</v>
      </c>
      <c r="M126" s="117">
        <f t="shared" si="53"/>
        <v>341890</v>
      </c>
      <c r="N126" s="117">
        <f t="shared" si="53"/>
        <v>341890</v>
      </c>
      <c r="O126" s="117">
        <f t="shared" si="53"/>
        <v>341890</v>
      </c>
      <c r="P126" s="117">
        <f t="shared" si="53"/>
        <v>341890</v>
      </c>
      <c r="Q126" s="117">
        <f t="shared" si="53"/>
        <v>341890</v>
      </c>
      <c r="R126" s="117">
        <f t="shared" si="53"/>
        <v>341890</v>
      </c>
      <c r="S126" s="117">
        <f t="shared" si="53"/>
        <v>341890</v>
      </c>
      <c r="T126" s="117">
        <f t="shared" si="53"/>
        <v>341890</v>
      </c>
      <c r="U126" s="117">
        <f t="shared" si="53"/>
        <v>341890</v>
      </c>
      <c r="V126" s="117">
        <f t="shared" si="53"/>
        <v>341890</v>
      </c>
      <c r="W126" s="117">
        <f t="shared" si="53"/>
        <v>341890</v>
      </c>
      <c r="X126" s="117">
        <f t="shared" si="53"/>
        <v>341890</v>
      </c>
      <c r="Y126" s="117">
        <f t="shared" si="53"/>
        <v>341890</v>
      </c>
      <c r="Z126" s="117">
        <f t="shared" si="53"/>
        <v>341890</v>
      </c>
      <c r="AA126" s="117">
        <f t="shared" si="53"/>
        <v>341890</v>
      </c>
      <c r="AB126" s="117">
        <f t="shared" si="53"/>
        <v>341890</v>
      </c>
      <c r="AC126" s="117">
        <f t="shared" si="53"/>
        <v>341890</v>
      </c>
      <c r="AD126" s="117">
        <f t="shared" si="53"/>
        <v>341890</v>
      </c>
      <c r="AE126" s="117">
        <f t="shared" si="53"/>
        <v>341890</v>
      </c>
      <c r="AF126" s="117">
        <f t="shared" si="53"/>
        <v>341890</v>
      </c>
      <c r="AG126" s="117">
        <f t="shared" si="53"/>
        <v>341890</v>
      </c>
      <c r="AH126" s="117">
        <f t="shared" si="53"/>
        <v>341890</v>
      </c>
      <c r="AI126" s="117">
        <f t="shared" si="53"/>
        <v>341890</v>
      </c>
      <c r="AJ126" s="117">
        <f t="shared" si="53"/>
        <v>341890</v>
      </c>
      <c r="AK126" s="117">
        <f t="shared" si="53"/>
        <v>341890</v>
      </c>
      <c r="AL126" s="117">
        <f t="shared" si="53"/>
        <v>341890</v>
      </c>
      <c r="AM126" s="117">
        <f t="shared" si="53"/>
        <v>341890</v>
      </c>
      <c r="AN126" s="117">
        <f t="shared" si="53"/>
        <v>341890</v>
      </c>
      <c r="AO126" s="117">
        <f t="shared" si="53"/>
        <v>341890</v>
      </c>
      <c r="AP126" s="117">
        <f t="shared" si="53"/>
        <v>341890</v>
      </c>
      <c r="AQ126" s="117">
        <f t="shared" si="53"/>
        <v>341890</v>
      </c>
      <c r="AR126" s="117">
        <f t="shared" si="53"/>
        <v>358984.5</v>
      </c>
      <c r="AS126" s="117">
        <f t="shared" si="53"/>
        <v>358984.5</v>
      </c>
      <c r="AT126" s="117">
        <f t="shared" si="53"/>
        <v>358984.5</v>
      </c>
      <c r="AU126" s="117">
        <f t="shared" si="53"/>
        <v>358984.5</v>
      </c>
      <c r="AV126" s="117">
        <f t="shared" si="53"/>
        <v>358984.5</v>
      </c>
      <c r="AW126" s="117">
        <f t="shared" si="53"/>
        <v>358984.5</v>
      </c>
      <c r="AX126" s="117">
        <f t="shared" si="53"/>
        <v>358984.5</v>
      </c>
      <c r="AY126" s="117">
        <f t="shared" si="53"/>
        <v>358984.5</v>
      </c>
      <c r="AZ126" s="117">
        <f t="shared" si="53"/>
        <v>358984.5</v>
      </c>
      <c r="BA126" s="117">
        <f t="shared" si="53"/>
        <v>358984.5</v>
      </c>
      <c r="BB126" s="117">
        <f t="shared" si="53"/>
        <v>358984.5</v>
      </c>
      <c r="BC126" s="117">
        <f t="shared" si="53"/>
        <v>358984.5</v>
      </c>
      <c r="BD126" s="117">
        <f t="shared" si="53"/>
        <v>358984.5</v>
      </c>
      <c r="BE126" s="117">
        <f t="shared" si="53"/>
        <v>358984.5</v>
      </c>
      <c r="BF126" s="117">
        <f t="shared" si="53"/>
        <v>358984.5</v>
      </c>
      <c r="BG126" s="117">
        <f t="shared" si="53"/>
        <v>358984.5</v>
      </c>
      <c r="BH126" s="117">
        <f t="shared" si="53"/>
        <v>358984.5</v>
      </c>
      <c r="BI126" s="117">
        <f t="shared" si="53"/>
        <v>358984.5</v>
      </c>
      <c r="BJ126" s="117">
        <f t="shared" si="53"/>
        <v>358984.5</v>
      </c>
      <c r="BK126" s="117">
        <f t="shared" si="53"/>
        <v>358984.5</v>
      </c>
      <c r="BL126" s="117">
        <f t="shared" si="53"/>
        <v>358984.5</v>
      </c>
      <c r="BM126" s="117">
        <f t="shared" si="53"/>
        <v>358984.5</v>
      </c>
      <c r="BN126" s="117">
        <f t="shared" si="53"/>
        <v>358984.5</v>
      </c>
      <c r="BO126" s="117">
        <f t="shared" si="53"/>
        <v>358984.5</v>
      </c>
      <c r="BP126" s="117">
        <f t="shared" si="53"/>
        <v>358984.5</v>
      </c>
      <c r="BQ126" s="117">
        <f t="shared" si="53"/>
        <v>358984.5</v>
      </c>
      <c r="BR126" s="117">
        <f t="shared" si="53"/>
        <v>358984.5</v>
      </c>
      <c r="BS126" s="117">
        <f t="shared" si="53"/>
        <v>358984.5</v>
      </c>
      <c r="BT126" s="117">
        <f t="shared" ref="BT126:CA126" si="54">BT121+BT122</f>
        <v>358984.5</v>
      </c>
      <c r="BU126" s="117">
        <f t="shared" si="54"/>
        <v>358984.5</v>
      </c>
      <c r="BV126" s="117">
        <f t="shared" si="54"/>
        <v>358984.5</v>
      </c>
      <c r="BW126" s="117">
        <f t="shared" si="54"/>
        <v>358984.5</v>
      </c>
      <c r="BX126" s="117">
        <f t="shared" si="54"/>
        <v>358984.5</v>
      </c>
      <c r="BY126" s="117">
        <f t="shared" si="54"/>
        <v>358984.5</v>
      </c>
      <c r="BZ126" s="117">
        <f t="shared" si="54"/>
        <v>17094.5</v>
      </c>
      <c r="CA126" s="117">
        <f t="shared" si="54"/>
        <v>17094.5</v>
      </c>
    </row>
    <row r="127" spans="1:79" customFormat="1" ht="14.25" x14ac:dyDescent="0.45">
      <c r="A127" s="106"/>
      <c r="B127" s="106"/>
      <c r="C127" s="116"/>
      <c r="D127" s="99"/>
      <c r="E127" s="99"/>
      <c r="F127" s="108"/>
      <c r="G127" s="99" t="s">
        <v>80</v>
      </c>
      <c r="H127" s="117">
        <f>H125-H126</f>
        <v>0</v>
      </c>
      <c r="I127" s="117">
        <f t="shared" ref="I127:BT127" si="55">I125-I126</f>
        <v>0</v>
      </c>
      <c r="J127" s="117">
        <f t="shared" si="55"/>
        <v>0</v>
      </c>
      <c r="K127" s="117">
        <f t="shared" si="55"/>
        <v>0</v>
      </c>
      <c r="L127" s="117">
        <f t="shared" si="55"/>
        <v>0</v>
      </c>
      <c r="M127" s="117">
        <f t="shared" si="55"/>
        <v>0</v>
      </c>
      <c r="N127" s="117">
        <f t="shared" si="55"/>
        <v>0</v>
      </c>
      <c r="O127" s="117">
        <f t="shared" si="55"/>
        <v>0</v>
      </c>
      <c r="P127" s="117">
        <f t="shared" si="55"/>
        <v>0</v>
      </c>
      <c r="Q127" s="117">
        <f t="shared" si="55"/>
        <v>0</v>
      </c>
      <c r="R127" s="117">
        <f t="shared" si="55"/>
        <v>0</v>
      </c>
      <c r="S127" s="117">
        <f t="shared" si="55"/>
        <v>0</v>
      </c>
      <c r="T127" s="117">
        <f t="shared" si="55"/>
        <v>0</v>
      </c>
      <c r="U127" s="117">
        <f t="shared" si="55"/>
        <v>0</v>
      </c>
      <c r="V127" s="117">
        <f t="shared" si="55"/>
        <v>0</v>
      </c>
      <c r="W127" s="117">
        <f t="shared" si="55"/>
        <v>0</v>
      </c>
      <c r="X127" s="117">
        <f t="shared" si="55"/>
        <v>0</v>
      </c>
      <c r="Y127" s="117">
        <f t="shared" si="55"/>
        <v>0</v>
      </c>
      <c r="Z127" s="117">
        <f t="shared" si="55"/>
        <v>0</v>
      </c>
      <c r="AA127" s="117">
        <f t="shared" si="55"/>
        <v>0</v>
      </c>
      <c r="AB127" s="117">
        <f t="shared" si="55"/>
        <v>0</v>
      </c>
      <c r="AC127" s="117">
        <f t="shared" si="55"/>
        <v>0</v>
      </c>
      <c r="AD127" s="117">
        <f t="shared" si="55"/>
        <v>0</v>
      </c>
      <c r="AE127" s="117">
        <f t="shared" si="55"/>
        <v>0</v>
      </c>
      <c r="AF127" s="117">
        <f t="shared" si="55"/>
        <v>0</v>
      </c>
      <c r="AG127" s="117">
        <f t="shared" si="55"/>
        <v>0</v>
      </c>
      <c r="AH127" s="117">
        <f t="shared" si="55"/>
        <v>0</v>
      </c>
      <c r="AI127" s="117">
        <f t="shared" si="55"/>
        <v>0</v>
      </c>
      <c r="AJ127" s="117">
        <f t="shared" si="55"/>
        <v>0</v>
      </c>
      <c r="AK127" s="117">
        <f t="shared" si="55"/>
        <v>0</v>
      </c>
      <c r="AL127" s="117">
        <f t="shared" si="55"/>
        <v>0</v>
      </c>
      <c r="AM127" s="117">
        <f t="shared" si="55"/>
        <v>0</v>
      </c>
      <c r="AN127" s="117">
        <f t="shared" si="55"/>
        <v>0</v>
      </c>
      <c r="AO127" s="117">
        <f t="shared" si="55"/>
        <v>0</v>
      </c>
      <c r="AP127" s="117">
        <f t="shared" si="55"/>
        <v>0</v>
      </c>
      <c r="AQ127" s="117">
        <f t="shared" si="55"/>
        <v>0</v>
      </c>
      <c r="AR127" s="117">
        <f t="shared" si="55"/>
        <v>0</v>
      </c>
      <c r="AS127" s="117">
        <f t="shared" si="55"/>
        <v>0</v>
      </c>
      <c r="AT127" s="117">
        <f t="shared" si="55"/>
        <v>0</v>
      </c>
      <c r="AU127" s="117">
        <f t="shared" si="55"/>
        <v>0</v>
      </c>
      <c r="AV127" s="117">
        <f t="shared" si="55"/>
        <v>0</v>
      </c>
      <c r="AW127" s="117">
        <f t="shared" si="55"/>
        <v>0</v>
      </c>
      <c r="AX127" s="117">
        <f t="shared" si="55"/>
        <v>0</v>
      </c>
      <c r="AY127" s="117">
        <f t="shared" si="55"/>
        <v>0</v>
      </c>
      <c r="AZ127" s="117">
        <f t="shared" si="55"/>
        <v>0</v>
      </c>
      <c r="BA127" s="117">
        <f t="shared" si="55"/>
        <v>0</v>
      </c>
      <c r="BB127" s="117">
        <f t="shared" si="55"/>
        <v>0</v>
      </c>
      <c r="BC127" s="117">
        <f t="shared" si="55"/>
        <v>0</v>
      </c>
      <c r="BD127" s="117">
        <f t="shared" si="55"/>
        <v>0</v>
      </c>
      <c r="BE127" s="117">
        <f t="shared" si="55"/>
        <v>0</v>
      </c>
      <c r="BF127" s="117">
        <f t="shared" si="55"/>
        <v>0</v>
      </c>
      <c r="BG127" s="117">
        <f t="shared" si="55"/>
        <v>0</v>
      </c>
      <c r="BH127" s="117">
        <f t="shared" si="55"/>
        <v>0</v>
      </c>
      <c r="BI127" s="117">
        <f t="shared" si="55"/>
        <v>0</v>
      </c>
      <c r="BJ127" s="117">
        <f t="shared" si="55"/>
        <v>0</v>
      </c>
      <c r="BK127" s="117">
        <f t="shared" si="55"/>
        <v>0</v>
      </c>
      <c r="BL127" s="117">
        <f t="shared" si="55"/>
        <v>0</v>
      </c>
      <c r="BM127" s="117">
        <f t="shared" si="55"/>
        <v>0</v>
      </c>
      <c r="BN127" s="117">
        <f t="shared" si="55"/>
        <v>0</v>
      </c>
      <c r="BO127" s="117">
        <f t="shared" si="55"/>
        <v>0</v>
      </c>
      <c r="BP127" s="117">
        <f t="shared" si="55"/>
        <v>0</v>
      </c>
      <c r="BQ127" s="117">
        <f t="shared" si="55"/>
        <v>0</v>
      </c>
      <c r="BR127" s="117">
        <f t="shared" si="55"/>
        <v>0</v>
      </c>
      <c r="BS127" s="117">
        <f t="shared" si="55"/>
        <v>0</v>
      </c>
      <c r="BT127" s="117">
        <f t="shared" si="55"/>
        <v>0</v>
      </c>
      <c r="BU127" s="117">
        <f t="shared" ref="BU127:CA127" si="56">BU125-BU126</f>
        <v>0</v>
      </c>
      <c r="BV127" s="117">
        <f t="shared" si="56"/>
        <v>0</v>
      </c>
      <c r="BW127" s="117">
        <f t="shared" si="56"/>
        <v>0</v>
      </c>
      <c r="BX127" s="117">
        <f t="shared" si="56"/>
        <v>0</v>
      </c>
      <c r="BY127" s="117">
        <f t="shared" si="56"/>
        <v>0</v>
      </c>
      <c r="BZ127" s="117">
        <f t="shared" si="56"/>
        <v>0</v>
      </c>
      <c r="CA127" s="117">
        <f t="shared" si="56"/>
        <v>0</v>
      </c>
    </row>
    <row r="128" spans="1:79" customFormat="1" ht="14.25" x14ac:dyDescent="0.45">
      <c r="A128" s="118"/>
      <c r="B128" s="118"/>
      <c r="C128" s="116"/>
      <c r="D128" s="99"/>
      <c r="E128" s="99"/>
      <c r="F128" s="119"/>
      <c r="G128" s="99"/>
      <c r="H128" s="120"/>
      <c r="I128" s="120"/>
      <c r="J128" s="120"/>
      <c r="K128" s="120"/>
      <c r="L128" s="120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AA128" s="122"/>
    </row>
    <row r="129" spans="1:79" customFormat="1" ht="30.4" customHeight="1" x14ac:dyDescent="0.45">
      <c r="A129" s="135" t="s">
        <v>81</v>
      </c>
      <c r="B129" s="135"/>
      <c r="C129" s="123" t="s">
        <v>74</v>
      </c>
      <c r="D129" s="101" t="s">
        <v>75</v>
      </c>
      <c r="E129" s="101"/>
      <c r="F129" s="102" t="s">
        <v>71</v>
      </c>
      <c r="G129" s="101" t="s">
        <v>77</v>
      </c>
      <c r="H129" s="103">
        <f>-H123</f>
        <v>341890</v>
      </c>
      <c r="I129" s="103">
        <f t="shared" ref="I129:BT129" si="57">-I123</f>
        <v>341890</v>
      </c>
      <c r="J129" s="103">
        <f t="shared" si="57"/>
        <v>341890</v>
      </c>
      <c r="K129" s="103">
        <f t="shared" si="57"/>
        <v>341890</v>
      </c>
      <c r="L129" s="103">
        <f t="shared" si="57"/>
        <v>341890</v>
      </c>
      <c r="M129" s="103">
        <f t="shared" si="57"/>
        <v>341890</v>
      </c>
      <c r="N129" s="103">
        <f t="shared" si="57"/>
        <v>341890</v>
      </c>
      <c r="O129" s="103">
        <f t="shared" si="57"/>
        <v>341890</v>
      </c>
      <c r="P129" s="103">
        <f t="shared" si="57"/>
        <v>341890</v>
      </c>
      <c r="Q129" s="103">
        <f t="shared" si="57"/>
        <v>341890</v>
      </c>
      <c r="R129" s="103">
        <f t="shared" si="57"/>
        <v>341890</v>
      </c>
      <c r="S129" s="103">
        <f t="shared" si="57"/>
        <v>341890</v>
      </c>
      <c r="T129" s="103">
        <f t="shared" si="57"/>
        <v>341890</v>
      </c>
      <c r="U129" s="103">
        <f t="shared" si="57"/>
        <v>341890</v>
      </c>
      <c r="V129" s="103">
        <f t="shared" si="57"/>
        <v>341890</v>
      </c>
      <c r="W129" s="103">
        <f t="shared" si="57"/>
        <v>341890</v>
      </c>
      <c r="X129" s="103">
        <f t="shared" si="57"/>
        <v>341890</v>
      </c>
      <c r="Y129" s="103">
        <f t="shared" si="57"/>
        <v>341890</v>
      </c>
      <c r="Z129" s="103">
        <f t="shared" si="57"/>
        <v>341890</v>
      </c>
      <c r="AA129" s="103">
        <f t="shared" si="57"/>
        <v>341890</v>
      </c>
      <c r="AB129" s="103">
        <f t="shared" si="57"/>
        <v>341890</v>
      </c>
      <c r="AC129" s="103">
        <f t="shared" si="57"/>
        <v>341890</v>
      </c>
      <c r="AD129" s="103">
        <f t="shared" si="57"/>
        <v>341890</v>
      </c>
      <c r="AE129" s="103">
        <f t="shared" si="57"/>
        <v>341890</v>
      </c>
      <c r="AF129" s="103">
        <f t="shared" si="57"/>
        <v>341890</v>
      </c>
      <c r="AG129" s="103">
        <f t="shared" si="57"/>
        <v>341890</v>
      </c>
      <c r="AH129" s="103">
        <f t="shared" si="57"/>
        <v>341890</v>
      </c>
      <c r="AI129" s="103">
        <f t="shared" si="57"/>
        <v>341890</v>
      </c>
      <c r="AJ129" s="103">
        <f t="shared" si="57"/>
        <v>341890</v>
      </c>
      <c r="AK129" s="103">
        <f t="shared" si="57"/>
        <v>341890</v>
      </c>
      <c r="AL129" s="103">
        <f t="shared" si="57"/>
        <v>341890</v>
      </c>
      <c r="AM129" s="103">
        <f t="shared" si="57"/>
        <v>341890</v>
      </c>
      <c r="AN129" s="103">
        <f t="shared" si="57"/>
        <v>341890</v>
      </c>
      <c r="AO129" s="103">
        <f t="shared" si="57"/>
        <v>341890</v>
      </c>
      <c r="AP129" s="103">
        <f t="shared" si="57"/>
        <v>341890</v>
      </c>
      <c r="AQ129" s="103">
        <f t="shared" si="57"/>
        <v>341890</v>
      </c>
      <c r="AR129" s="103">
        <f t="shared" si="57"/>
        <v>358984.5</v>
      </c>
      <c r="AS129" s="103">
        <f t="shared" si="57"/>
        <v>358984.5</v>
      </c>
      <c r="AT129" s="103">
        <f t="shared" si="57"/>
        <v>358984.5</v>
      </c>
      <c r="AU129" s="103">
        <f t="shared" si="57"/>
        <v>358984.5</v>
      </c>
      <c r="AV129" s="103">
        <f t="shared" si="57"/>
        <v>358984.5</v>
      </c>
      <c r="AW129" s="103">
        <f t="shared" si="57"/>
        <v>358984.5</v>
      </c>
      <c r="AX129" s="103">
        <f t="shared" si="57"/>
        <v>358984.5</v>
      </c>
      <c r="AY129" s="103">
        <f t="shared" si="57"/>
        <v>358984.5</v>
      </c>
      <c r="AZ129" s="103">
        <f t="shared" si="57"/>
        <v>358984.5</v>
      </c>
      <c r="BA129" s="103">
        <f t="shared" si="57"/>
        <v>358984.5</v>
      </c>
      <c r="BB129" s="103">
        <f t="shared" si="57"/>
        <v>358984.5</v>
      </c>
      <c r="BC129" s="103">
        <f t="shared" si="57"/>
        <v>358984.5</v>
      </c>
      <c r="BD129" s="103">
        <f t="shared" si="57"/>
        <v>358984.5</v>
      </c>
      <c r="BE129" s="103">
        <f t="shared" si="57"/>
        <v>358984.5</v>
      </c>
      <c r="BF129" s="103">
        <f t="shared" si="57"/>
        <v>358984.5</v>
      </c>
      <c r="BG129" s="103">
        <f t="shared" si="57"/>
        <v>358984.5</v>
      </c>
      <c r="BH129" s="103">
        <f t="shared" si="57"/>
        <v>358984.5</v>
      </c>
      <c r="BI129" s="103">
        <f t="shared" si="57"/>
        <v>358984.5</v>
      </c>
      <c r="BJ129" s="103">
        <f t="shared" si="57"/>
        <v>358984.5</v>
      </c>
      <c r="BK129" s="103">
        <f t="shared" si="57"/>
        <v>358984.5</v>
      </c>
      <c r="BL129" s="103">
        <f t="shared" si="57"/>
        <v>358984.5</v>
      </c>
      <c r="BM129" s="103">
        <f t="shared" si="57"/>
        <v>358984.5</v>
      </c>
      <c r="BN129" s="103">
        <f t="shared" si="57"/>
        <v>358984.5</v>
      </c>
      <c r="BO129" s="103">
        <f t="shared" si="57"/>
        <v>358984.5</v>
      </c>
      <c r="BP129" s="103">
        <f t="shared" si="57"/>
        <v>358984.5</v>
      </c>
      <c r="BQ129" s="103">
        <f t="shared" si="57"/>
        <v>358984.5</v>
      </c>
      <c r="BR129" s="103">
        <f t="shared" si="57"/>
        <v>358984.5</v>
      </c>
      <c r="BS129" s="103">
        <f t="shared" si="57"/>
        <v>358984.5</v>
      </c>
      <c r="BT129" s="103">
        <f t="shared" si="57"/>
        <v>358984.5</v>
      </c>
      <c r="BU129" s="103">
        <f t="shared" ref="BU129:CA129" si="58">-BU123</f>
        <v>358984.5</v>
      </c>
      <c r="BV129" s="103">
        <f t="shared" si="58"/>
        <v>358984.5</v>
      </c>
      <c r="BW129" s="103">
        <f t="shared" si="58"/>
        <v>358984.5</v>
      </c>
      <c r="BX129" s="103">
        <f t="shared" si="58"/>
        <v>358984.5</v>
      </c>
      <c r="BY129" s="103">
        <f t="shared" si="58"/>
        <v>358984.5</v>
      </c>
      <c r="BZ129" s="103">
        <f t="shared" si="58"/>
        <v>17094.5</v>
      </c>
      <c r="CA129" s="103">
        <f t="shared" si="58"/>
        <v>17094.5</v>
      </c>
    </row>
    <row r="130" spans="1:79" customFormat="1" ht="30.4" customHeight="1" x14ac:dyDescent="0.45">
      <c r="A130" s="137"/>
      <c r="B130" s="137"/>
      <c r="C130" s="124" t="s">
        <v>115</v>
      </c>
      <c r="D130" s="99" t="s">
        <v>82</v>
      </c>
      <c r="E130" s="99"/>
      <c r="F130" s="108" t="s">
        <v>76</v>
      </c>
      <c r="G130" s="99" t="s">
        <v>72</v>
      </c>
      <c r="H130" s="117">
        <f>-ROUND(H125*0.05,0)</f>
        <v>-17095</v>
      </c>
      <c r="I130" s="117">
        <f t="shared" ref="I130:BT130" si="59">-ROUND(I125*0.05,0)</f>
        <v>-17095</v>
      </c>
      <c r="J130" s="117">
        <f t="shared" si="59"/>
        <v>-17095</v>
      </c>
      <c r="K130" s="117">
        <f t="shared" si="59"/>
        <v>-17095</v>
      </c>
      <c r="L130" s="117">
        <f t="shared" si="59"/>
        <v>-17095</v>
      </c>
      <c r="M130" s="117">
        <f t="shared" si="59"/>
        <v>-17095</v>
      </c>
      <c r="N130" s="117">
        <f t="shared" si="59"/>
        <v>-17095</v>
      </c>
      <c r="O130" s="117">
        <f t="shared" si="59"/>
        <v>-17095</v>
      </c>
      <c r="P130" s="117">
        <f t="shared" si="59"/>
        <v>-17095</v>
      </c>
      <c r="Q130" s="117">
        <f t="shared" si="59"/>
        <v>-17095</v>
      </c>
      <c r="R130" s="117">
        <f t="shared" si="59"/>
        <v>-17095</v>
      </c>
      <c r="S130" s="117">
        <f t="shared" si="59"/>
        <v>-17095</v>
      </c>
      <c r="T130" s="117">
        <f t="shared" si="59"/>
        <v>-17095</v>
      </c>
      <c r="U130" s="117">
        <f t="shared" si="59"/>
        <v>-17095</v>
      </c>
      <c r="V130" s="117">
        <f t="shared" si="59"/>
        <v>-17095</v>
      </c>
      <c r="W130" s="117">
        <f t="shared" si="59"/>
        <v>-17095</v>
      </c>
      <c r="X130" s="117">
        <f t="shared" si="59"/>
        <v>-17095</v>
      </c>
      <c r="Y130" s="117">
        <f t="shared" si="59"/>
        <v>-17095</v>
      </c>
      <c r="Z130" s="117">
        <f t="shared" si="59"/>
        <v>-17095</v>
      </c>
      <c r="AA130" s="117">
        <f t="shared" si="59"/>
        <v>-17095</v>
      </c>
      <c r="AB130" s="117">
        <f t="shared" si="59"/>
        <v>-17095</v>
      </c>
      <c r="AC130" s="117">
        <f t="shared" si="59"/>
        <v>-17095</v>
      </c>
      <c r="AD130" s="117">
        <f t="shared" si="59"/>
        <v>-17095</v>
      </c>
      <c r="AE130" s="117">
        <f t="shared" si="59"/>
        <v>-17095</v>
      </c>
      <c r="AF130" s="117">
        <f t="shared" si="59"/>
        <v>-17095</v>
      </c>
      <c r="AG130" s="117">
        <f t="shared" si="59"/>
        <v>-17095</v>
      </c>
      <c r="AH130" s="117">
        <f t="shared" si="59"/>
        <v>-17095</v>
      </c>
      <c r="AI130" s="117">
        <f t="shared" si="59"/>
        <v>-17095</v>
      </c>
      <c r="AJ130" s="117">
        <f t="shared" si="59"/>
        <v>-17095</v>
      </c>
      <c r="AK130" s="117">
        <f t="shared" si="59"/>
        <v>-17095</v>
      </c>
      <c r="AL130" s="117">
        <f t="shared" si="59"/>
        <v>-17095</v>
      </c>
      <c r="AM130" s="117">
        <f t="shared" si="59"/>
        <v>-17095</v>
      </c>
      <c r="AN130" s="117">
        <f t="shared" si="59"/>
        <v>-17095</v>
      </c>
      <c r="AO130" s="117">
        <f t="shared" si="59"/>
        <v>-17095</v>
      </c>
      <c r="AP130" s="117">
        <f t="shared" si="59"/>
        <v>-17095</v>
      </c>
      <c r="AQ130" s="117">
        <f t="shared" si="59"/>
        <v>-17095</v>
      </c>
      <c r="AR130" s="117">
        <f t="shared" si="59"/>
        <v>-17949</v>
      </c>
      <c r="AS130" s="117">
        <f t="shared" si="59"/>
        <v>-17949</v>
      </c>
      <c r="AT130" s="117">
        <f t="shared" si="59"/>
        <v>-17949</v>
      </c>
      <c r="AU130" s="117">
        <f t="shared" si="59"/>
        <v>-17949</v>
      </c>
      <c r="AV130" s="117">
        <f t="shared" si="59"/>
        <v>-17949</v>
      </c>
      <c r="AW130" s="117">
        <f t="shared" si="59"/>
        <v>-17949</v>
      </c>
      <c r="AX130" s="117">
        <f t="shared" si="59"/>
        <v>-17949</v>
      </c>
      <c r="AY130" s="117">
        <f t="shared" si="59"/>
        <v>-17949</v>
      </c>
      <c r="AZ130" s="117">
        <f t="shared" si="59"/>
        <v>-17949</v>
      </c>
      <c r="BA130" s="117">
        <f t="shared" si="59"/>
        <v>-17949</v>
      </c>
      <c r="BB130" s="117">
        <f t="shared" si="59"/>
        <v>-17949</v>
      </c>
      <c r="BC130" s="117">
        <f t="shared" si="59"/>
        <v>-17949</v>
      </c>
      <c r="BD130" s="117">
        <f t="shared" si="59"/>
        <v>-17949</v>
      </c>
      <c r="BE130" s="117">
        <f t="shared" si="59"/>
        <v>-17949</v>
      </c>
      <c r="BF130" s="117">
        <f t="shared" si="59"/>
        <v>-17949</v>
      </c>
      <c r="BG130" s="117">
        <f t="shared" si="59"/>
        <v>-17949</v>
      </c>
      <c r="BH130" s="117">
        <f t="shared" si="59"/>
        <v>-17949</v>
      </c>
      <c r="BI130" s="117">
        <f t="shared" si="59"/>
        <v>-17949</v>
      </c>
      <c r="BJ130" s="117">
        <f t="shared" si="59"/>
        <v>-17949</v>
      </c>
      <c r="BK130" s="117">
        <f t="shared" si="59"/>
        <v>-17949</v>
      </c>
      <c r="BL130" s="117">
        <f t="shared" si="59"/>
        <v>-17949</v>
      </c>
      <c r="BM130" s="117">
        <f t="shared" si="59"/>
        <v>-17949</v>
      </c>
      <c r="BN130" s="117">
        <f t="shared" si="59"/>
        <v>-17949</v>
      </c>
      <c r="BO130" s="117">
        <f t="shared" si="59"/>
        <v>-17949</v>
      </c>
      <c r="BP130" s="117">
        <f t="shared" si="59"/>
        <v>-17949</v>
      </c>
      <c r="BQ130" s="117">
        <f t="shared" si="59"/>
        <v>-17949</v>
      </c>
      <c r="BR130" s="117">
        <f t="shared" si="59"/>
        <v>-17949</v>
      </c>
      <c r="BS130" s="117">
        <f t="shared" si="59"/>
        <v>-17949</v>
      </c>
      <c r="BT130" s="117">
        <f t="shared" si="59"/>
        <v>-17949</v>
      </c>
      <c r="BU130" s="117">
        <f t="shared" ref="BU130:BY130" si="60">-ROUND(BU125*0.05,0)</f>
        <v>-17949</v>
      </c>
      <c r="BV130" s="117">
        <f t="shared" si="60"/>
        <v>-17949</v>
      </c>
      <c r="BW130" s="117">
        <f t="shared" si="60"/>
        <v>-17949</v>
      </c>
      <c r="BX130" s="117">
        <f t="shared" si="60"/>
        <v>-17949</v>
      </c>
      <c r="BY130" s="117">
        <f t="shared" si="60"/>
        <v>-17949</v>
      </c>
      <c r="BZ130" s="117">
        <f>H130</f>
        <v>-17095</v>
      </c>
      <c r="CA130" s="117">
        <f>BZ130</f>
        <v>-17095</v>
      </c>
    </row>
    <row r="131" spans="1:79" customFormat="1" ht="30.4" customHeight="1" x14ac:dyDescent="0.45">
      <c r="A131" s="136"/>
      <c r="B131" s="136"/>
      <c r="C131" s="125" t="s">
        <v>116</v>
      </c>
      <c r="D131" s="113" t="s">
        <v>83</v>
      </c>
      <c r="E131" s="113"/>
      <c r="F131" s="114" t="s">
        <v>76</v>
      </c>
      <c r="G131" s="113" t="s">
        <v>84</v>
      </c>
      <c r="H131" s="115">
        <f>-SUM(H129:H130)</f>
        <v>-324795</v>
      </c>
      <c r="I131" s="115">
        <f t="shared" ref="I131:BO131" si="61">-SUM(I129:I130)</f>
        <v>-324795</v>
      </c>
      <c r="J131" s="115">
        <f t="shared" si="61"/>
        <v>-324795</v>
      </c>
      <c r="K131" s="115">
        <f t="shared" si="61"/>
        <v>-324795</v>
      </c>
      <c r="L131" s="115">
        <f t="shared" si="61"/>
        <v>-324795</v>
      </c>
      <c r="M131" s="115">
        <f t="shared" si="61"/>
        <v>-324795</v>
      </c>
      <c r="N131" s="115">
        <f t="shared" si="61"/>
        <v>-324795</v>
      </c>
      <c r="O131" s="115">
        <f t="shared" si="61"/>
        <v>-324795</v>
      </c>
      <c r="P131" s="115">
        <f t="shared" si="61"/>
        <v>-324795</v>
      </c>
      <c r="Q131" s="115">
        <f t="shared" si="61"/>
        <v>-324795</v>
      </c>
      <c r="R131" s="115">
        <f t="shared" si="61"/>
        <v>-324795</v>
      </c>
      <c r="S131" s="115">
        <f t="shared" si="61"/>
        <v>-324795</v>
      </c>
      <c r="T131" s="115">
        <f t="shared" si="61"/>
        <v>-324795</v>
      </c>
      <c r="U131" s="115">
        <f t="shared" si="61"/>
        <v>-324795</v>
      </c>
      <c r="V131" s="115">
        <f t="shared" si="61"/>
        <v>-324795</v>
      </c>
      <c r="W131" s="115">
        <f t="shared" si="61"/>
        <v>-324795</v>
      </c>
      <c r="X131" s="115">
        <f t="shared" si="61"/>
        <v>-324795</v>
      </c>
      <c r="Y131" s="115">
        <f t="shared" si="61"/>
        <v>-324795</v>
      </c>
      <c r="Z131" s="115">
        <f t="shared" si="61"/>
        <v>-324795</v>
      </c>
      <c r="AA131" s="115">
        <f t="shared" si="61"/>
        <v>-324795</v>
      </c>
      <c r="AB131" s="115">
        <f t="shared" si="61"/>
        <v>-324795</v>
      </c>
      <c r="AC131" s="115">
        <f t="shared" si="61"/>
        <v>-324795</v>
      </c>
      <c r="AD131" s="115">
        <f t="shared" si="61"/>
        <v>-324795</v>
      </c>
      <c r="AE131" s="115">
        <f t="shared" si="61"/>
        <v>-324795</v>
      </c>
      <c r="AF131" s="115">
        <f t="shared" si="61"/>
        <v>-324795</v>
      </c>
      <c r="AG131" s="115">
        <f t="shared" si="61"/>
        <v>-324795</v>
      </c>
      <c r="AH131" s="115">
        <f t="shared" si="61"/>
        <v>-324795</v>
      </c>
      <c r="AI131" s="115">
        <f t="shared" si="61"/>
        <v>-324795</v>
      </c>
      <c r="AJ131" s="115">
        <f t="shared" si="61"/>
        <v>-324795</v>
      </c>
      <c r="AK131" s="115">
        <f t="shared" si="61"/>
        <v>-324795</v>
      </c>
      <c r="AL131" s="115">
        <f t="shared" si="61"/>
        <v>-324795</v>
      </c>
      <c r="AM131" s="115">
        <f t="shared" si="61"/>
        <v>-324795</v>
      </c>
      <c r="AN131" s="115">
        <f t="shared" si="61"/>
        <v>-324795</v>
      </c>
      <c r="AO131" s="115">
        <f t="shared" si="61"/>
        <v>-324795</v>
      </c>
      <c r="AP131" s="115">
        <f t="shared" si="61"/>
        <v>-324795</v>
      </c>
      <c r="AQ131" s="115">
        <f t="shared" si="61"/>
        <v>-324795</v>
      </c>
      <c r="AR131" s="115">
        <f t="shared" si="61"/>
        <v>-341035.5</v>
      </c>
      <c r="AS131" s="115">
        <f t="shared" si="61"/>
        <v>-341035.5</v>
      </c>
      <c r="AT131" s="115">
        <f t="shared" si="61"/>
        <v>-341035.5</v>
      </c>
      <c r="AU131" s="115">
        <f t="shared" si="61"/>
        <v>-341035.5</v>
      </c>
      <c r="AV131" s="115">
        <f t="shared" si="61"/>
        <v>-341035.5</v>
      </c>
      <c r="AW131" s="115">
        <f t="shared" si="61"/>
        <v>-341035.5</v>
      </c>
      <c r="AX131" s="115">
        <f t="shared" si="61"/>
        <v>-341035.5</v>
      </c>
      <c r="AY131" s="115">
        <f t="shared" si="61"/>
        <v>-341035.5</v>
      </c>
      <c r="AZ131" s="115">
        <f t="shared" si="61"/>
        <v>-341035.5</v>
      </c>
      <c r="BA131" s="115">
        <f t="shared" si="61"/>
        <v>-341035.5</v>
      </c>
      <c r="BB131" s="115">
        <f t="shared" si="61"/>
        <v>-341035.5</v>
      </c>
      <c r="BC131" s="115">
        <f t="shared" si="61"/>
        <v>-341035.5</v>
      </c>
      <c r="BD131" s="115">
        <f t="shared" si="61"/>
        <v>-341035.5</v>
      </c>
      <c r="BE131" s="115">
        <f t="shared" si="61"/>
        <v>-341035.5</v>
      </c>
      <c r="BF131" s="115">
        <f t="shared" si="61"/>
        <v>-341035.5</v>
      </c>
      <c r="BG131" s="115">
        <f t="shared" si="61"/>
        <v>-341035.5</v>
      </c>
      <c r="BH131" s="115">
        <f t="shared" si="61"/>
        <v>-341035.5</v>
      </c>
      <c r="BI131" s="115">
        <f t="shared" si="61"/>
        <v>-341035.5</v>
      </c>
      <c r="BJ131" s="115">
        <f t="shared" si="61"/>
        <v>-341035.5</v>
      </c>
      <c r="BK131" s="115">
        <f t="shared" si="61"/>
        <v>-341035.5</v>
      </c>
      <c r="BL131" s="115">
        <f t="shared" si="61"/>
        <v>-341035.5</v>
      </c>
      <c r="BM131" s="115">
        <f t="shared" si="61"/>
        <v>-341035.5</v>
      </c>
      <c r="BN131" s="115">
        <f t="shared" si="61"/>
        <v>-341035.5</v>
      </c>
      <c r="BO131" s="115">
        <f t="shared" si="61"/>
        <v>-341035.5</v>
      </c>
      <c r="BP131" s="115">
        <f t="shared" ref="BP131:CA131" si="62">-SUM(BP129:BP130)</f>
        <v>-341035.5</v>
      </c>
      <c r="BQ131" s="115">
        <f t="shared" si="62"/>
        <v>-341035.5</v>
      </c>
      <c r="BR131" s="115">
        <f t="shared" si="62"/>
        <v>-341035.5</v>
      </c>
      <c r="BS131" s="115">
        <f t="shared" si="62"/>
        <v>-341035.5</v>
      </c>
      <c r="BT131" s="115">
        <f t="shared" si="62"/>
        <v>-341035.5</v>
      </c>
      <c r="BU131" s="115">
        <f t="shared" si="62"/>
        <v>-341035.5</v>
      </c>
      <c r="BV131" s="115">
        <f t="shared" si="62"/>
        <v>-341035.5</v>
      </c>
      <c r="BW131" s="115">
        <f t="shared" si="62"/>
        <v>-341035.5</v>
      </c>
      <c r="BX131" s="115">
        <f t="shared" si="62"/>
        <v>-341035.5</v>
      </c>
      <c r="BY131" s="115">
        <f t="shared" si="62"/>
        <v>-341035.5</v>
      </c>
      <c r="BZ131" s="115">
        <f t="shared" si="62"/>
        <v>0.5</v>
      </c>
      <c r="CA131" s="115">
        <f t="shared" si="62"/>
        <v>0.5</v>
      </c>
    </row>
    <row r="132" spans="1:79" customFormat="1" ht="14.25" x14ac:dyDescent="0.45">
      <c r="A132" s="118"/>
      <c r="B132" s="118"/>
      <c r="C132" s="116"/>
      <c r="D132" s="99"/>
      <c r="E132" s="99"/>
      <c r="F132" s="119"/>
      <c r="G132" s="99"/>
      <c r="H132" s="120"/>
      <c r="I132" s="120"/>
      <c r="J132" s="120"/>
      <c r="K132" s="120"/>
      <c r="L132" s="120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AA132" s="122"/>
    </row>
    <row r="133" spans="1:79" customFormat="1" ht="14.25" x14ac:dyDescent="0.45">
      <c r="A133" s="139" t="s">
        <v>85</v>
      </c>
      <c r="B133" s="139"/>
      <c r="C133" s="100" t="s">
        <v>117</v>
      </c>
      <c r="D133" s="101" t="s">
        <v>86</v>
      </c>
      <c r="E133" s="126"/>
      <c r="F133" s="102" t="s">
        <v>71</v>
      </c>
      <c r="G133" s="126" t="s">
        <v>27</v>
      </c>
      <c r="H133" s="103">
        <f>-ROUND((H125*0.15),0)</f>
        <v>-51284</v>
      </c>
      <c r="I133" s="103">
        <f t="shared" ref="I133:BT133" si="63">-ROUND((I125*0.15),0)</f>
        <v>-51284</v>
      </c>
      <c r="J133" s="103">
        <f t="shared" si="63"/>
        <v>-51284</v>
      </c>
      <c r="K133" s="103">
        <f t="shared" si="63"/>
        <v>-51284</v>
      </c>
      <c r="L133" s="103">
        <f t="shared" si="63"/>
        <v>-51284</v>
      </c>
      <c r="M133" s="103">
        <f t="shared" si="63"/>
        <v>-51284</v>
      </c>
      <c r="N133" s="103">
        <f t="shared" si="63"/>
        <v>-51284</v>
      </c>
      <c r="O133" s="103">
        <f t="shared" si="63"/>
        <v>-51284</v>
      </c>
      <c r="P133" s="103">
        <f t="shared" si="63"/>
        <v>-51284</v>
      </c>
      <c r="Q133" s="103">
        <f t="shared" si="63"/>
        <v>-51284</v>
      </c>
      <c r="R133" s="103">
        <f t="shared" si="63"/>
        <v>-51284</v>
      </c>
      <c r="S133" s="103">
        <f t="shared" si="63"/>
        <v>-51284</v>
      </c>
      <c r="T133" s="103">
        <f t="shared" si="63"/>
        <v>-51284</v>
      </c>
      <c r="U133" s="103">
        <f t="shared" si="63"/>
        <v>-51284</v>
      </c>
      <c r="V133" s="103">
        <f t="shared" si="63"/>
        <v>-51284</v>
      </c>
      <c r="W133" s="103">
        <f t="shared" si="63"/>
        <v>-51284</v>
      </c>
      <c r="X133" s="103">
        <f t="shared" si="63"/>
        <v>-51284</v>
      </c>
      <c r="Y133" s="103">
        <f t="shared" si="63"/>
        <v>-51284</v>
      </c>
      <c r="Z133" s="103">
        <f t="shared" si="63"/>
        <v>-51284</v>
      </c>
      <c r="AA133" s="103">
        <f t="shared" si="63"/>
        <v>-51284</v>
      </c>
      <c r="AB133" s="103">
        <f t="shared" si="63"/>
        <v>-51284</v>
      </c>
      <c r="AC133" s="103">
        <f t="shared" si="63"/>
        <v>-51284</v>
      </c>
      <c r="AD133" s="103">
        <f t="shared" si="63"/>
        <v>-51284</v>
      </c>
      <c r="AE133" s="103">
        <f t="shared" si="63"/>
        <v>-51284</v>
      </c>
      <c r="AF133" s="103">
        <f t="shared" si="63"/>
        <v>-51284</v>
      </c>
      <c r="AG133" s="103">
        <f t="shared" si="63"/>
        <v>-51284</v>
      </c>
      <c r="AH133" s="103">
        <f t="shared" si="63"/>
        <v>-51284</v>
      </c>
      <c r="AI133" s="103">
        <f t="shared" si="63"/>
        <v>-51284</v>
      </c>
      <c r="AJ133" s="103">
        <f t="shared" si="63"/>
        <v>-51284</v>
      </c>
      <c r="AK133" s="103">
        <f t="shared" si="63"/>
        <v>-51284</v>
      </c>
      <c r="AL133" s="103">
        <f t="shared" si="63"/>
        <v>-51284</v>
      </c>
      <c r="AM133" s="103">
        <f t="shared" si="63"/>
        <v>-51284</v>
      </c>
      <c r="AN133" s="103">
        <f t="shared" si="63"/>
        <v>-51284</v>
      </c>
      <c r="AO133" s="103">
        <f t="shared" si="63"/>
        <v>-51284</v>
      </c>
      <c r="AP133" s="103">
        <f t="shared" si="63"/>
        <v>-51284</v>
      </c>
      <c r="AQ133" s="103">
        <f t="shared" si="63"/>
        <v>-51284</v>
      </c>
      <c r="AR133" s="103">
        <f t="shared" si="63"/>
        <v>-53848</v>
      </c>
      <c r="AS133" s="103">
        <f t="shared" si="63"/>
        <v>-53848</v>
      </c>
      <c r="AT133" s="103">
        <f t="shared" si="63"/>
        <v>-53848</v>
      </c>
      <c r="AU133" s="103">
        <f t="shared" si="63"/>
        <v>-53848</v>
      </c>
      <c r="AV133" s="103">
        <f t="shared" si="63"/>
        <v>-53848</v>
      </c>
      <c r="AW133" s="103">
        <f t="shared" si="63"/>
        <v>-53848</v>
      </c>
      <c r="AX133" s="103">
        <f t="shared" si="63"/>
        <v>-53848</v>
      </c>
      <c r="AY133" s="103">
        <f t="shared" si="63"/>
        <v>-53848</v>
      </c>
      <c r="AZ133" s="103">
        <f t="shared" si="63"/>
        <v>-53848</v>
      </c>
      <c r="BA133" s="103">
        <f t="shared" si="63"/>
        <v>-53848</v>
      </c>
      <c r="BB133" s="103">
        <f t="shared" si="63"/>
        <v>-53848</v>
      </c>
      <c r="BC133" s="103">
        <f t="shared" si="63"/>
        <v>-53848</v>
      </c>
      <c r="BD133" s="103">
        <f t="shared" si="63"/>
        <v>-53848</v>
      </c>
      <c r="BE133" s="103">
        <f t="shared" si="63"/>
        <v>-53848</v>
      </c>
      <c r="BF133" s="103">
        <f t="shared" si="63"/>
        <v>-53848</v>
      </c>
      <c r="BG133" s="103">
        <f t="shared" si="63"/>
        <v>-53848</v>
      </c>
      <c r="BH133" s="103">
        <f t="shared" si="63"/>
        <v>-53848</v>
      </c>
      <c r="BI133" s="103">
        <f t="shared" si="63"/>
        <v>-53848</v>
      </c>
      <c r="BJ133" s="103">
        <f t="shared" si="63"/>
        <v>-53848</v>
      </c>
      <c r="BK133" s="103">
        <f t="shared" si="63"/>
        <v>-53848</v>
      </c>
      <c r="BL133" s="103">
        <f t="shared" si="63"/>
        <v>-53848</v>
      </c>
      <c r="BM133" s="103">
        <f t="shared" si="63"/>
        <v>-53848</v>
      </c>
      <c r="BN133" s="103">
        <f t="shared" si="63"/>
        <v>-53848</v>
      </c>
      <c r="BO133" s="103">
        <f t="shared" si="63"/>
        <v>-53848</v>
      </c>
      <c r="BP133" s="103">
        <f t="shared" si="63"/>
        <v>-53848</v>
      </c>
      <c r="BQ133" s="103">
        <f t="shared" si="63"/>
        <v>-53848</v>
      </c>
      <c r="BR133" s="103">
        <f t="shared" si="63"/>
        <v>-53848</v>
      </c>
      <c r="BS133" s="103">
        <f t="shared" si="63"/>
        <v>-53848</v>
      </c>
      <c r="BT133" s="103">
        <f t="shared" si="63"/>
        <v>-53848</v>
      </c>
      <c r="BU133" s="103">
        <f t="shared" ref="BU133:CA133" si="64">-ROUND((BU125*0.15),0)</f>
        <v>-53848</v>
      </c>
      <c r="BV133" s="103">
        <f t="shared" si="64"/>
        <v>-53848</v>
      </c>
      <c r="BW133" s="103">
        <f t="shared" si="64"/>
        <v>-53848</v>
      </c>
      <c r="BX133" s="103">
        <f t="shared" si="64"/>
        <v>-53848</v>
      </c>
      <c r="BY133" s="103">
        <f t="shared" si="64"/>
        <v>-53848</v>
      </c>
      <c r="BZ133" s="103">
        <f t="shared" si="64"/>
        <v>-2564</v>
      </c>
      <c r="CA133" s="103">
        <f t="shared" si="64"/>
        <v>-2564</v>
      </c>
    </row>
    <row r="134" spans="1:79" customFormat="1" ht="14.25" x14ac:dyDescent="0.45">
      <c r="A134" s="140"/>
      <c r="B134" s="140"/>
      <c r="C134" s="127" t="s">
        <v>123</v>
      </c>
      <c r="D134" s="128" t="s">
        <v>87</v>
      </c>
      <c r="E134" s="128"/>
      <c r="F134" s="114" t="s">
        <v>76</v>
      </c>
      <c r="G134" s="113" t="s">
        <v>72</v>
      </c>
      <c r="H134" s="115">
        <f>-H133</f>
        <v>51284</v>
      </c>
      <c r="I134" s="115">
        <f t="shared" ref="I134:BT134" si="65">-I133</f>
        <v>51284</v>
      </c>
      <c r="J134" s="115">
        <f t="shared" si="65"/>
        <v>51284</v>
      </c>
      <c r="K134" s="115">
        <f t="shared" si="65"/>
        <v>51284</v>
      </c>
      <c r="L134" s="115">
        <f t="shared" si="65"/>
        <v>51284</v>
      </c>
      <c r="M134" s="115">
        <f t="shared" si="65"/>
        <v>51284</v>
      </c>
      <c r="N134" s="115">
        <f t="shared" si="65"/>
        <v>51284</v>
      </c>
      <c r="O134" s="115">
        <f t="shared" si="65"/>
        <v>51284</v>
      </c>
      <c r="P134" s="115">
        <f t="shared" si="65"/>
        <v>51284</v>
      </c>
      <c r="Q134" s="115">
        <f t="shared" si="65"/>
        <v>51284</v>
      </c>
      <c r="R134" s="115">
        <f t="shared" si="65"/>
        <v>51284</v>
      </c>
      <c r="S134" s="115">
        <f t="shared" si="65"/>
        <v>51284</v>
      </c>
      <c r="T134" s="115">
        <f t="shared" si="65"/>
        <v>51284</v>
      </c>
      <c r="U134" s="115">
        <f t="shared" si="65"/>
        <v>51284</v>
      </c>
      <c r="V134" s="115">
        <f t="shared" si="65"/>
        <v>51284</v>
      </c>
      <c r="W134" s="115">
        <f t="shared" si="65"/>
        <v>51284</v>
      </c>
      <c r="X134" s="115">
        <f t="shared" si="65"/>
        <v>51284</v>
      </c>
      <c r="Y134" s="115">
        <f t="shared" si="65"/>
        <v>51284</v>
      </c>
      <c r="Z134" s="115">
        <f t="shared" si="65"/>
        <v>51284</v>
      </c>
      <c r="AA134" s="115">
        <f t="shared" si="65"/>
        <v>51284</v>
      </c>
      <c r="AB134" s="115">
        <f t="shared" si="65"/>
        <v>51284</v>
      </c>
      <c r="AC134" s="115">
        <f t="shared" si="65"/>
        <v>51284</v>
      </c>
      <c r="AD134" s="115">
        <f t="shared" si="65"/>
        <v>51284</v>
      </c>
      <c r="AE134" s="115">
        <f t="shared" si="65"/>
        <v>51284</v>
      </c>
      <c r="AF134" s="115">
        <f t="shared" si="65"/>
        <v>51284</v>
      </c>
      <c r="AG134" s="115">
        <f t="shared" si="65"/>
        <v>51284</v>
      </c>
      <c r="AH134" s="115">
        <f t="shared" si="65"/>
        <v>51284</v>
      </c>
      <c r="AI134" s="115">
        <f t="shared" si="65"/>
        <v>51284</v>
      </c>
      <c r="AJ134" s="115">
        <f t="shared" si="65"/>
        <v>51284</v>
      </c>
      <c r="AK134" s="115">
        <f t="shared" si="65"/>
        <v>51284</v>
      </c>
      <c r="AL134" s="115">
        <f t="shared" si="65"/>
        <v>51284</v>
      </c>
      <c r="AM134" s="115">
        <f t="shared" si="65"/>
        <v>51284</v>
      </c>
      <c r="AN134" s="115">
        <f t="shared" si="65"/>
        <v>51284</v>
      </c>
      <c r="AO134" s="115">
        <f t="shared" si="65"/>
        <v>51284</v>
      </c>
      <c r="AP134" s="115">
        <f t="shared" si="65"/>
        <v>51284</v>
      </c>
      <c r="AQ134" s="115">
        <f t="shared" si="65"/>
        <v>51284</v>
      </c>
      <c r="AR134" s="115">
        <f t="shared" si="65"/>
        <v>53848</v>
      </c>
      <c r="AS134" s="115">
        <f t="shared" si="65"/>
        <v>53848</v>
      </c>
      <c r="AT134" s="115">
        <f t="shared" si="65"/>
        <v>53848</v>
      </c>
      <c r="AU134" s="115">
        <f t="shared" si="65"/>
        <v>53848</v>
      </c>
      <c r="AV134" s="115">
        <f t="shared" si="65"/>
        <v>53848</v>
      </c>
      <c r="AW134" s="115">
        <f t="shared" si="65"/>
        <v>53848</v>
      </c>
      <c r="AX134" s="115">
        <f t="shared" si="65"/>
        <v>53848</v>
      </c>
      <c r="AY134" s="115">
        <f t="shared" si="65"/>
        <v>53848</v>
      </c>
      <c r="AZ134" s="115">
        <f t="shared" si="65"/>
        <v>53848</v>
      </c>
      <c r="BA134" s="115">
        <f t="shared" si="65"/>
        <v>53848</v>
      </c>
      <c r="BB134" s="115">
        <f t="shared" si="65"/>
        <v>53848</v>
      </c>
      <c r="BC134" s="115">
        <f t="shared" si="65"/>
        <v>53848</v>
      </c>
      <c r="BD134" s="115">
        <f t="shared" si="65"/>
        <v>53848</v>
      </c>
      <c r="BE134" s="115">
        <f t="shared" si="65"/>
        <v>53848</v>
      </c>
      <c r="BF134" s="115">
        <f t="shared" si="65"/>
        <v>53848</v>
      </c>
      <c r="BG134" s="115">
        <f t="shared" si="65"/>
        <v>53848</v>
      </c>
      <c r="BH134" s="115">
        <f t="shared" si="65"/>
        <v>53848</v>
      </c>
      <c r="BI134" s="115">
        <f t="shared" si="65"/>
        <v>53848</v>
      </c>
      <c r="BJ134" s="115">
        <f t="shared" si="65"/>
        <v>53848</v>
      </c>
      <c r="BK134" s="115">
        <f t="shared" si="65"/>
        <v>53848</v>
      </c>
      <c r="BL134" s="115">
        <f t="shared" si="65"/>
        <v>53848</v>
      </c>
      <c r="BM134" s="115">
        <f t="shared" si="65"/>
        <v>53848</v>
      </c>
      <c r="BN134" s="115">
        <f t="shared" si="65"/>
        <v>53848</v>
      </c>
      <c r="BO134" s="115">
        <f t="shared" si="65"/>
        <v>53848</v>
      </c>
      <c r="BP134" s="115">
        <f t="shared" si="65"/>
        <v>53848</v>
      </c>
      <c r="BQ134" s="115">
        <f t="shared" si="65"/>
        <v>53848</v>
      </c>
      <c r="BR134" s="115">
        <f t="shared" si="65"/>
        <v>53848</v>
      </c>
      <c r="BS134" s="115">
        <f t="shared" si="65"/>
        <v>53848</v>
      </c>
      <c r="BT134" s="115">
        <f t="shared" si="65"/>
        <v>53848</v>
      </c>
      <c r="BU134" s="115">
        <f t="shared" ref="BU134:CA134" si="66">-BU133</f>
        <v>53848</v>
      </c>
      <c r="BV134" s="115">
        <f t="shared" si="66"/>
        <v>53848</v>
      </c>
      <c r="BW134" s="115">
        <f t="shared" si="66"/>
        <v>53848</v>
      </c>
      <c r="BX134" s="115">
        <f t="shared" si="66"/>
        <v>53848</v>
      </c>
      <c r="BY134" s="115">
        <f t="shared" si="66"/>
        <v>53848</v>
      </c>
      <c r="BZ134" s="115">
        <f t="shared" si="66"/>
        <v>2564</v>
      </c>
      <c r="CA134" s="115">
        <f t="shared" si="66"/>
        <v>2564</v>
      </c>
    </row>
    <row r="135" spans="1:79" customFormat="1" ht="14.25" x14ac:dyDescent="0.45">
      <c r="A135" s="118"/>
      <c r="B135" s="118"/>
      <c r="C135" s="129"/>
      <c r="D135" s="99"/>
      <c r="E135" s="99"/>
      <c r="F135" s="119"/>
      <c r="G135" s="99"/>
      <c r="H135" s="120"/>
      <c r="I135" s="120"/>
      <c r="J135" s="120"/>
      <c r="K135" s="120"/>
      <c r="L135" s="120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AA135" s="122"/>
    </row>
    <row r="136" spans="1:79" customFormat="1" ht="15" customHeight="1" x14ac:dyDescent="0.45">
      <c r="A136" s="135" t="s">
        <v>88</v>
      </c>
      <c r="B136" s="135"/>
      <c r="C136" s="100" t="s">
        <v>118</v>
      </c>
      <c r="D136" s="101" t="s">
        <v>89</v>
      </c>
      <c r="E136" s="101"/>
      <c r="F136" s="102" t="s">
        <v>71</v>
      </c>
      <c r="G136" s="101" t="s">
        <v>27</v>
      </c>
      <c r="H136" s="130">
        <f>$AB$42</f>
        <v>278582.12546542624</v>
      </c>
      <c r="I136" s="130">
        <f t="shared" ref="I136:BT136" si="67">$AB$42</f>
        <v>278582.12546542624</v>
      </c>
      <c r="J136" s="130">
        <f t="shared" si="67"/>
        <v>278582.12546542624</v>
      </c>
      <c r="K136" s="130">
        <f t="shared" si="67"/>
        <v>278582.12546542624</v>
      </c>
      <c r="L136" s="130">
        <f t="shared" si="67"/>
        <v>278582.12546542624</v>
      </c>
      <c r="M136" s="130">
        <f t="shared" si="67"/>
        <v>278582.12546542624</v>
      </c>
      <c r="N136" s="130">
        <f t="shared" si="67"/>
        <v>278582.12546542624</v>
      </c>
      <c r="O136" s="130">
        <f t="shared" si="67"/>
        <v>278582.12546542624</v>
      </c>
      <c r="P136" s="130">
        <f t="shared" si="67"/>
        <v>278582.12546542624</v>
      </c>
      <c r="Q136" s="130">
        <f t="shared" si="67"/>
        <v>278582.12546542624</v>
      </c>
      <c r="R136" s="130">
        <f t="shared" si="67"/>
        <v>278582.12546542624</v>
      </c>
      <c r="S136" s="130">
        <f t="shared" si="67"/>
        <v>278582.12546542624</v>
      </c>
      <c r="T136" s="130">
        <f t="shared" si="67"/>
        <v>278582.12546542624</v>
      </c>
      <c r="U136" s="130">
        <f t="shared" si="67"/>
        <v>278582.12546542624</v>
      </c>
      <c r="V136" s="130">
        <f t="shared" si="67"/>
        <v>278582.12546542624</v>
      </c>
      <c r="W136" s="130">
        <f t="shared" si="67"/>
        <v>278582.12546542624</v>
      </c>
      <c r="X136" s="130">
        <f t="shared" si="67"/>
        <v>278582.12546542624</v>
      </c>
      <c r="Y136" s="130">
        <f t="shared" si="67"/>
        <v>278582.12546542624</v>
      </c>
      <c r="Z136" s="130">
        <f t="shared" si="67"/>
        <v>278582.12546542624</v>
      </c>
      <c r="AA136" s="130">
        <f t="shared" si="67"/>
        <v>278582.12546542624</v>
      </c>
      <c r="AB136" s="130">
        <f t="shared" si="67"/>
        <v>278582.12546542624</v>
      </c>
      <c r="AC136" s="130">
        <f t="shared" si="67"/>
        <v>278582.12546542624</v>
      </c>
      <c r="AD136" s="130">
        <f t="shared" si="67"/>
        <v>278582.12546542624</v>
      </c>
      <c r="AE136" s="130">
        <f t="shared" si="67"/>
        <v>278582.12546542624</v>
      </c>
      <c r="AF136" s="130">
        <f t="shared" si="67"/>
        <v>278582.12546542624</v>
      </c>
      <c r="AG136" s="130">
        <f t="shared" si="67"/>
        <v>278582.12546542624</v>
      </c>
      <c r="AH136" s="130">
        <f t="shared" si="67"/>
        <v>278582.12546542624</v>
      </c>
      <c r="AI136" s="130">
        <f t="shared" si="67"/>
        <v>278582.12546542624</v>
      </c>
      <c r="AJ136" s="130">
        <f t="shared" si="67"/>
        <v>278582.12546542624</v>
      </c>
      <c r="AK136" s="130">
        <f t="shared" si="67"/>
        <v>278582.12546542624</v>
      </c>
      <c r="AL136" s="130">
        <f t="shared" si="67"/>
        <v>278582.12546542624</v>
      </c>
      <c r="AM136" s="130">
        <f t="shared" si="67"/>
        <v>278582.12546542624</v>
      </c>
      <c r="AN136" s="130">
        <f t="shared" si="67"/>
        <v>278582.12546542624</v>
      </c>
      <c r="AO136" s="130">
        <f t="shared" si="67"/>
        <v>278582.12546542624</v>
      </c>
      <c r="AP136" s="130">
        <f t="shared" si="67"/>
        <v>278582.12546542624</v>
      </c>
      <c r="AQ136" s="130">
        <f t="shared" si="67"/>
        <v>278582.12546542624</v>
      </c>
      <c r="AR136" s="130">
        <f t="shared" si="67"/>
        <v>278582.12546542624</v>
      </c>
      <c r="AS136" s="130">
        <f t="shared" si="67"/>
        <v>278582.12546542624</v>
      </c>
      <c r="AT136" s="130">
        <f t="shared" si="67"/>
        <v>278582.12546542624</v>
      </c>
      <c r="AU136" s="130">
        <f t="shared" si="67"/>
        <v>278582.12546542624</v>
      </c>
      <c r="AV136" s="130">
        <f t="shared" si="67"/>
        <v>278582.12546542624</v>
      </c>
      <c r="AW136" s="130">
        <f t="shared" si="67"/>
        <v>278582.12546542624</v>
      </c>
      <c r="AX136" s="130">
        <f t="shared" si="67"/>
        <v>278582.12546542624</v>
      </c>
      <c r="AY136" s="130">
        <f t="shared" si="67"/>
        <v>278582.12546542624</v>
      </c>
      <c r="AZ136" s="130">
        <f t="shared" si="67"/>
        <v>278582.12546542624</v>
      </c>
      <c r="BA136" s="130">
        <f t="shared" si="67"/>
        <v>278582.12546542624</v>
      </c>
      <c r="BB136" s="130">
        <f t="shared" si="67"/>
        <v>278582.12546542624</v>
      </c>
      <c r="BC136" s="130">
        <f t="shared" si="67"/>
        <v>278582.12546542624</v>
      </c>
      <c r="BD136" s="130">
        <f t="shared" si="67"/>
        <v>278582.12546542624</v>
      </c>
      <c r="BE136" s="130">
        <f t="shared" si="67"/>
        <v>278582.12546542624</v>
      </c>
      <c r="BF136" s="130">
        <f t="shared" si="67"/>
        <v>278582.12546542624</v>
      </c>
      <c r="BG136" s="130">
        <f t="shared" si="67"/>
        <v>278582.12546542624</v>
      </c>
      <c r="BH136" s="130">
        <f t="shared" si="67"/>
        <v>278582.12546542624</v>
      </c>
      <c r="BI136" s="130">
        <f t="shared" si="67"/>
        <v>278582.12546542624</v>
      </c>
      <c r="BJ136" s="130">
        <f t="shared" si="67"/>
        <v>278582.12546542624</v>
      </c>
      <c r="BK136" s="130">
        <f t="shared" si="67"/>
        <v>278582.12546542624</v>
      </c>
      <c r="BL136" s="130">
        <f t="shared" si="67"/>
        <v>278582.12546542624</v>
      </c>
      <c r="BM136" s="130">
        <f t="shared" si="67"/>
        <v>278582.12546542624</v>
      </c>
      <c r="BN136" s="130">
        <f t="shared" si="67"/>
        <v>278582.12546542624</v>
      </c>
      <c r="BO136" s="130">
        <f t="shared" si="67"/>
        <v>278582.12546542624</v>
      </c>
      <c r="BP136" s="130">
        <f t="shared" si="67"/>
        <v>278582.12546542624</v>
      </c>
      <c r="BQ136" s="130">
        <f t="shared" si="67"/>
        <v>278582.12546542624</v>
      </c>
      <c r="BR136" s="130">
        <f t="shared" si="67"/>
        <v>278582.12546542624</v>
      </c>
      <c r="BS136" s="130">
        <f t="shared" si="67"/>
        <v>278582.12546542624</v>
      </c>
      <c r="BT136" s="130">
        <f t="shared" si="67"/>
        <v>278582.12546542624</v>
      </c>
      <c r="BU136" s="130">
        <f t="shared" ref="BU136:CA136" si="68">$AB$42</f>
        <v>278582.12546542624</v>
      </c>
      <c r="BV136" s="130">
        <f t="shared" si="68"/>
        <v>278582.12546542624</v>
      </c>
      <c r="BW136" s="130">
        <f t="shared" si="68"/>
        <v>278582.12546542624</v>
      </c>
      <c r="BX136" s="130">
        <f t="shared" si="68"/>
        <v>278582.12546542624</v>
      </c>
      <c r="BY136" s="130">
        <f t="shared" si="68"/>
        <v>278582.12546542624</v>
      </c>
      <c r="BZ136" s="130">
        <f t="shared" si="68"/>
        <v>278582.12546542624</v>
      </c>
      <c r="CA136" s="130">
        <f t="shared" si="68"/>
        <v>278582.12546542624</v>
      </c>
    </row>
    <row r="137" spans="1:79" customFormat="1" ht="14.25" x14ac:dyDescent="0.45">
      <c r="A137" s="136"/>
      <c r="B137" s="136"/>
      <c r="C137" s="127" t="s">
        <v>119</v>
      </c>
      <c r="D137" s="113" t="s">
        <v>90</v>
      </c>
      <c r="E137" s="113"/>
      <c r="F137" s="114" t="s">
        <v>76</v>
      </c>
      <c r="G137" s="113" t="s">
        <v>84</v>
      </c>
      <c r="H137" s="131">
        <f>-H136</f>
        <v>-278582.12546542624</v>
      </c>
      <c r="I137" s="131">
        <f t="shared" ref="I137:BT137" si="69">-I136</f>
        <v>-278582.12546542624</v>
      </c>
      <c r="J137" s="131">
        <f t="shared" si="69"/>
        <v>-278582.12546542624</v>
      </c>
      <c r="K137" s="131">
        <f t="shared" si="69"/>
        <v>-278582.12546542624</v>
      </c>
      <c r="L137" s="131">
        <f t="shared" si="69"/>
        <v>-278582.12546542624</v>
      </c>
      <c r="M137" s="131">
        <f t="shared" si="69"/>
        <v>-278582.12546542624</v>
      </c>
      <c r="N137" s="131">
        <f t="shared" si="69"/>
        <v>-278582.12546542624</v>
      </c>
      <c r="O137" s="131">
        <f t="shared" si="69"/>
        <v>-278582.12546542624</v>
      </c>
      <c r="P137" s="131">
        <f t="shared" si="69"/>
        <v>-278582.12546542624</v>
      </c>
      <c r="Q137" s="131">
        <f t="shared" si="69"/>
        <v>-278582.12546542624</v>
      </c>
      <c r="R137" s="131">
        <f t="shared" si="69"/>
        <v>-278582.12546542624</v>
      </c>
      <c r="S137" s="131">
        <f t="shared" si="69"/>
        <v>-278582.12546542624</v>
      </c>
      <c r="T137" s="131">
        <f t="shared" si="69"/>
        <v>-278582.12546542624</v>
      </c>
      <c r="U137" s="131">
        <f t="shared" si="69"/>
        <v>-278582.12546542624</v>
      </c>
      <c r="V137" s="131">
        <f t="shared" si="69"/>
        <v>-278582.12546542624</v>
      </c>
      <c r="W137" s="131">
        <f t="shared" si="69"/>
        <v>-278582.12546542624</v>
      </c>
      <c r="X137" s="131">
        <f t="shared" si="69"/>
        <v>-278582.12546542624</v>
      </c>
      <c r="Y137" s="131">
        <f t="shared" si="69"/>
        <v>-278582.12546542624</v>
      </c>
      <c r="Z137" s="131">
        <f t="shared" si="69"/>
        <v>-278582.12546542624</v>
      </c>
      <c r="AA137" s="131">
        <f t="shared" si="69"/>
        <v>-278582.12546542624</v>
      </c>
      <c r="AB137" s="131">
        <f t="shared" si="69"/>
        <v>-278582.12546542624</v>
      </c>
      <c r="AC137" s="131">
        <f t="shared" si="69"/>
        <v>-278582.12546542624</v>
      </c>
      <c r="AD137" s="131">
        <f t="shared" si="69"/>
        <v>-278582.12546542624</v>
      </c>
      <c r="AE137" s="131">
        <f t="shared" si="69"/>
        <v>-278582.12546542624</v>
      </c>
      <c r="AF137" s="131">
        <f t="shared" si="69"/>
        <v>-278582.12546542624</v>
      </c>
      <c r="AG137" s="131">
        <f t="shared" si="69"/>
        <v>-278582.12546542624</v>
      </c>
      <c r="AH137" s="131">
        <f t="shared" si="69"/>
        <v>-278582.12546542624</v>
      </c>
      <c r="AI137" s="131">
        <f t="shared" si="69"/>
        <v>-278582.12546542624</v>
      </c>
      <c r="AJ137" s="131">
        <f t="shared" si="69"/>
        <v>-278582.12546542624</v>
      </c>
      <c r="AK137" s="131">
        <f t="shared" si="69"/>
        <v>-278582.12546542624</v>
      </c>
      <c r="AL137" s="131">
        <f t="shared" si="69"/>
        <v>-278582.12546542624</v>
      </c>
      <c r="AM137" s="131">
        <f t="shared" si="69"/>
        <v>-278582.12546542624</v>
      </c>
      <c r="AN137" s="131">
        <f t="shared" si="69"/>
        <v>-278582.12546542624</v>
      </c>
      <c r="AO137" s="131">
        <f t="shared" si="69"/>
        <v>-278582.12546542624</v>
      </c>
      <c r="AP137" s="131">
        <f t="shared" si="69"/>
        <v>-278582.12546542624</v>
      </c>
      <c r="AQ137" s="131">
        <f t="shared" si="69"/>
        <v>-278582.12546542624</v>
      </c>
      <c r="AR137" s="131">
        <f t="shared" si="69"/>
        <v>-278582.12546542624</v>
      </c>
      <c r="AS137" s="131">
        <f t="shared" si="69"/>
        <v>-278582.12546542624</v>
      </c>
      <c r="AT137" s="131">
        <f t="shared" si="69"/>
        <v>-278582.12546542624</v>
      </c>
      <c r="AU137" s="131">
        <f t="shared" si="69"/>
        <v>-278582.12546542624</v>
      </c>
      <c r="AV137" s="131">
        <f t="shared" si="69"/>
        <v>-278582.12546542624</v>
      </c>
      <c r="AW137" s="131">
        <f t="shared" si="69"/>
        <v>-278582.12546542624</v>
      </c>
      <c r="AX137" s="131">
        <f t="shared" si="69"/>
        <v>-278582.12546542624</v>
      </c>
      <c r="AY137" s="131">
        <f t="shared" si="69"/>
        <v>-278582.12546542624</v>
      </c>
      <c r="AZ137" s="131">
        <f t="shared" si="69"/>
        <v>-278582.12546542624</v>
      </c>
      <c r="BA137" s="131">
        <f t="shared" si="69"/>
        <v>-278582.12546542624</v>
      </c>
      <c r="BB137" s="131">
        <f t="shared" si="69"/>
        <v>-278582.12546542624</v>
      </c>
      <c r="BC137" s="131">
        <f t="shared" si="69"/>
        <v>-278582.12546542624</v>
      </c>
      <c r="BD137" s="131">
        <f t="shared" si="69"/>
        <v>-278582.12546542624</v>
      </c>
      <c r="BE137" s="131">
        <f t="shared" si="69"/>
        <v>-278582.12546542624</v>
      </c>
      <c r="BF137" s="131">
        <f t="shared" si="69"/>
        <v>-278582.12546542624</v>
      </c>
      <c r="BG137" s="131">
        <f t="shared" si="69"/>
        <v>-278582.12546542624</v>
      </c>
      <c r="BH137" s="131">
        <f t="shared" si="69"/>
        <v>-278582.12546542624</v>
      </c>
      <c r="BI137" s="131">
        <f t="shared" si="69"/>
        <v>-278582.12546542624</v>
      </c>
      <c r="BJ137" s="131">
        <f t="shared" si="69"/>
        <v>-278582.12546542624</v>
      </c>
      <c r="BK137" s="131">
        <f t="shared" si="69"/>
        <v>-278582.12546542624</v>
      </c>
      <c r="BL137" s="131">
        <f t="shared" si="69"/>
        <v>-278582.12546542624</v>
      </c>
      <c r="BM137" s="131">
        <f t="shared" si="69"/>
        <v>-278582.12546542624</v>
      </c>
      <c r="BN137" s="131">
        <f t="shared" si="69"/>
        <v>-278582.12546542624</v>
      </c>
      <c r="BO137" s="131">
        <f t="shared" si="69"/>
        <v>-278582.12546542624</v>
      </c>
      <c r="BP137" s="131">
        <f t="shared" si="69"/>
        <v>-278582.12546542624</v>
      </c>
      <c r="BQ137" s="131">
        <f t="shared" si="69"/>
        <v>-278582.12546542624</v>
      </c>
      <c r="BR137" s="131">
        <f t="shared" si="69"/>
        <v>-278582.12546542624</v>
      </c>
      <c r="BS137" s="131">
        <f t="shared" si="69"/>
        <v>-278582.12546542624</v>
      </c>
      <c r="BT137" s="131">
        <f t="shared" si="69"/>
        <v>-278582.12546542624</v>
      </c>
      <c r="BU137" s="131">
        <f t="shared" ref="BU137:CA137" si="70">-BU136</f>
        <v>-278582.12546542624</v>
      </c>
      <c r="BV137" s="131">
        <f t="shared" si="70"/>
        <v>-278582.12546542624</v>
      </c>
      <c r="BW137" s="131">
        <f t="shared" si="70"/>
        <v>-278582.12546542624</v>
      </c>
      <c r="BX137" s="131">
        <f t="shared" si="70"/>
        <v>-278582.12546542624</v>
      </c>
      <c r="BY137" s="131">
        <f t="shared" si="70"/>
        <v>-278582.12546542624</v>
      </c>
      <c r="BZ137" s="131">
        <f t="shared" si="70"/>
        <v>-278582.12546542624</v>
      </c>
      <c r="CA137" s="131">
        <f t="shared" si="70"/>
        <v>-278582.12546542624</v>
      </c>
    </row>
    <row r="138" spans="1:79" customFormat="1" ht="14.25" x14ac:dyDescent="0.45">
      <c r="A138" s="118"/>
      <c r="B138" s="118"/>
      <c r="C138" s="129"/>
      <c r="D138" s="99"/>
      <c r="E138" s="99"/>
      <c r="F138" s="119"/>
      <c r="G138" s="99"/>
      <c r="H138" s="120"/>
      <c r="I138" s="120"/>
      <c r="J138" s="120"/>
      <c r="K138" s="120"/>
      <c r="L138" s="120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AA138" s="122"/>
    </row>
    <row r="139" spans="1:79" customFormat="1" ht="14.25" x14ac:dyDescent="0.45">
      <c r="A139" s="118"/>
      <c r="B139" s="118"/>
      <c r="C139" s="129"/>
      <c r="D139" s="99"/>
      <c r="E139" s="99"/>
      <c r="F139" s="119"/>
      <c r="G139" s="99"/>
      <c r="H139" s="120"/>
      <c r="I139" s="120"/>
      <c r="J139" s="120"/>
      <c r="K139" s="120"/>
      <c r="L139" s="120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AA139" s="122"/>
    </row>
    <row r="140" spans="1:79" customFormat="1" ht="14.25" x14ac:dyDescent="0.45">
      <c r="A140" s="135" t="s">
        <v>91</v>
      </c>
      <c r="B140" s="135"/>
      <c r="C140" s="100" t="s">
        <v>120</v>
      </c>
      <c r="D140" s="101" t="s">
        <v>87</v>
      </c>
      <c r="E140" s="101"/>
      <c r="F140" s="102" t="s">
        <v>71</v>
      </c>
      <c r="G140" s="101" t="s">
        <v>72</v>
      </c>
      <c r="H140" s="103">
        <f>H133</f>
        <v>-51284</v>
      </c>
      <c r="I140" s="103">
        <f t="shared" ref="I140:BT140" si="71">I133</f>
        <v>-51284</v>
      </c>
      <c r="J140" s="103">
        <f t="shared" si="71"/>
        <v>-51284</v>
      </c>
      <c r="K140" s="103">
        <f t="shared" si="71"/>
        <v>-51284</v>
      </c>
      <c r="L140" s="103">
        <f t="shared" si="71"/>
        <v>-51284</v>
      </c>
      <c r="M140" s="103">
        <f t="shared" si="71"/>
        <v>-51284</v>
      </c>
      <c r="N140" s="103">
        <f t="shared" si="71"/>
        <v>-51284</v>
      </c>
      <c r="O140" s="103">
        <f t="shared" si="71"/>
        <v>-51284</v>
      </c>
      <c r="P140" s="103">
        <f t="shared" si="71"/>
        <v>-51284</v>
      </c>
      <c r="Q140" s="103">
        <f t="shared" si="71"/>
        <v>-51284</v>
      </c>
      <c r="R140" s="103">
        <f t="shared" si="71"/>
        <v>-51284</v>
      </c>
      <c r="S140" s="103">
        <f t="shared" si="71"/>
        <v>-51284</v>
      </c>
      <c r="T140" s="103">
        <f t="shared" si="71"/>
        <v>-51284</v>
      </c>
      <c r="U140" s="103">
        <f t="shared" si="71"/>
        <v>-51284</v>
      </c>
      <c r="V140" s="103">
        <f t="shared" si="71"/>
        <v>-51284</v>
      </c>
      <c r="W140" s="103">
        <f t="shared" si="71"/>
        <v>-51284</v>
      </c>
      <c r="X140" s="103">
        <f t="shared" si="71"/>
        <v>-51284</v>
      </c>
      <c r="Y140" s="103">
        <f t="shared" si="71"/>
        <v>-51284</v>
      </c>
      <c r="Z140" s="103">
        <f t="shared" si="71"/>
        <v>-51284</v>
      </c>
      <c r="AA140" s="103">
        <f t="shared" si="71"/>
        <v>-51284</v>
      </c>
      <c r="AB140" s="103">
        <f t="shared" si="71"/>
        <v>-51284</v>
      </c>
      <c r="AC140" s="103">
        <f t="shared" si="71"/>
        <v>-51284</v>
      </c>
      <c r="AD140" s="103">
        <f t="shared" si="71"/>
        <v>-51284</v>
      </c>
      <c r="AE140" s="103">
        <f t="shared" si="71"/>
        <v>-51284</v>
      </c>
      <c r="AF140" s="103">
        <f t="shared" si="71"/>
        <v>-51284</v>
      </c>
      <c r="AG140" s="103">
        <f t="shared" si="71"/>
        <v>-51284</v>
      </c>
      <c r="AH140" s="103">
        <f t="shared" si="71"/>
        <v>-51284</v>
      </c>
      <c r="AI140" s="103">
        <f t="shared" si="71"/>
        <v>-51284</v>
      </c>
      <c r="AJ140" s="103">
        <f t="shared" si="71"/>
        <v>-51284</v>
      </c>
      <c r="AK140" s="103">
        <f t="shared" si="71"/>
        <v>-51284</v>
      </c>
      <c r="AL140" s="103">
        <f t="shared" si="71"/>
        <v>-51284</v>
      </c>
      <c r="AM140" s="103">
        <f t="shared" si="71"/>
        <v>-51284</v>
      </c>
      <c r="AN140" s="103">
        <f t="shared" si="71"/>
        <v>-51284</v>
      </c>
      <c r="AO140" s="103">
        <f t="shared" si="71"/>
        <v>-51284</v>
      </c>
      <c r="AP140" s="103">
        <f t="shared" si="71"/>
        <v>-51284</v>
      </c>
      <c r="AQ140" s="103">
        <f t="shared" si="71"/>
        <v>-51284</v>
      </c>
      <c r="AR140" s="103">
        <f t="shared" si="71"/>
        <v>-53848</v>
      </c>
      <c r="AS140" s="103">
        <f t="shared" si="71"/>
        <v>-53848</v>
      </c>
      <c r="AT140" s="103">
        <f t="shared" si="71"/>
        <v>-53848</v>
      </c>
      <c r="AU140" s="103">
        <f t="shared" si="71"/>
        <v>-53848</v>
      </c>
      <c r="AV140" s="103">
        <f t="shared" si="71"/>
        <v>-53848</v>
      </c>
      <c r="AW140" s="103">
        <f t="shared" si="71"/>
        <v>-53848</v>
      </c>
      <c r="AX140" s="103">
        <f t="shared" si="71"/>
        <v>-53848</v>
      </c>
      <c r="AY140" s="103">
        <f t="shared" si="71"/>
        <v>-53848</v>
      </c>
      <c r="AZ140" s="103">
        <f t="shared" si="71"/>
        <v>-53848</v>
      </c>
      <c r="BA140" s="103">
        <f t="shared" si="71"/>
        <v>-53848</v>
      </c>
      <c r="BB140" s="103">
        <f t="shared" si="71"/>
        <v>-53848</v>
      </c>
      <c r="BC140" s="103">
        <f t="shared" si="71"/>
        <v>-53848</v>
      </c>
      <c r="BD140" s="103">
        <f t="shared" si="71"/>
        <v>-53848</v>
      </c>
      <c r="BE140" s="103">
        <f t="shared" si="71"/>
        <v>-53848</v>
      </c>
      <c r="BF140" s="103">
        <f t="shared" si="71"/>
        <v>-53848</v>
      </c>
      <c r="BG140" s="103">
        <f t="shared" si="71"/>
        <v>-53848</v>
      </c>
      <c r="BH140" s="103">
        <f t="shared" si="71"/>
        <v>-53848</v>
      </c>
      <c r="BI140" s="103">
        <f t="shared" si="71"/>
        <v>-53848</v>
      </c>
      <c r="BJ140" s="103">
        <f t="shared" si="71"/>
        <v>-53848</v>
      </c>
      <c r="BK140" s="103">
        <f t="shared" si="71"/>
        <v>-53848</v>
      </c>
      <c r="BL140" s="103">
        <f t="shared" si="71"/>
        <v>-53848</v>
      </c>
      <c r="BM140" s="103">
        <f t="shared" si="71"/>
        <v>-53848</v>
      </c>
      <c r="BN140" s="103">
        <f t="shared" si="71"/>
        <v>-53848</v>
      </c>
      <c r="BO140" s="103">
        <f t="shared" si="71"/>
        <v>-53848</v>
      </c>
      <c r="BP140" s="103">
        <f t="shared" si="71"/>
        <v>-53848</v>
      </c>
      <c r="BQ140" s="103">
        <f t="shared" si="71"/>
        <v>-53848</v>
      </c>
      <c r="BR140" s="103">
        <f t="shared" si="71"/>
        <v>-53848</v>
      </c>
      <c r="BS140" s="103">
        <f t="shared" si="71"/>
        <v>-53848</v>
      </c>
      <c r="BT140" s="103">
        <f t="shared" si="71"/>
        <v>-53848</v>
      </c>
      <c r="BU140" s="103">
        <f t="shared" ref="BU140:CA140" si="72">BU133</f>
        <v>-53848</v>
      </c>
      <c r="BV140" s="103">
        <f t="shared" si="72"/>
        <v>-53848</v>
      </c>
      <c r="BW140" s="103">
        <f t="shared" si="72"/>
        <v>-53848</v>
      </c>
      <c r="BX140" s="103">
        <f t="shared" si="72"/>
        <v>-53848</v>
      </c>
      <c r="BY140" s="103">
        <f t="shared" si="72"/>
        <v>-53848</v>
      </c>
      <c r="BZ140" s="103">
        <f t="shared" si="72"/>
        <v>-2564</v>
      </c>
      <c r="CA140" s="103">
        <f t="shared" si="72"/>
        <v>-2564</v>
      </c>
    </row>
    <row r="141" spans="1:79" customFormat="1" ht="14.25" x14ac:dyDescent="0.45">
      <c r="A141" s="137"/>
      <c r="B141" s="137"/>
      <c r="C141" s="124" t="s">
        <v>121</v>
      </c>
      <c r="D141" s="99" t="s">
        <v>82</v>
      </c>
      <c r="E141" s="99"/>
      <c r="F141" s="108" t="s">
        <v>71</v>
      </c>
      <c r="G141" s="99" t="s">
        <v>72</v>
      </c>
      <c r="H141" s="109">
        <f t="shared" ref="H141:BS141" si="73">-H130</f>
        <v>17095</v>
      </c>
      <c r="I141" s="109">
        <f t="shared" si="73"/>
        <v>17095</v>
      </c>
      <c r="J141" s="109">
        <f t="shared" si="73"/>
        <v>17095</v>
      </c>
      <c r="K141" s="109">
        <f t="shared" si="73"/>
        <v>17095</v>
      </c>
      <c r="L141" s="109">
        <f t="shared" si="73"/>
        <v>17095</v>
      </c>
      <c r="M141" s="109">
        <f t="shared" si="73"/>
        <v>17095</v>
      </c>
      <c r="N141" s="109">
        <f t="shared" si="73"/>
        <v>17095</v>
      </c>
      <c r="O141" s="109">
        <f t="shared" si="73"/>
        <v>17095</v>
      </c>
      <c r="P141" s="109">
        <f t="shared" si="73"/>
        <v>17095</v>
      </c>
      <c r="Q141" s="109">
        <f t="shared" si="73"/>
        <v>17095</v>
      </c>
      <c r="R141" s="109">
        <f t="shared" si="73"/>
        <v>17095</v>
      </c>
      <c r="S141" s="109">
        <f t="shared" si="73"/>
        <v>17095</v>
      </c>
      <c r="T141" s="109">
        <f t="shared" si="73"/>
        <v>17095</v>
      </c>
      <c r="U141" s="109">
        <f t="shared" si="73"/>
        <v>17095</v>
      </c>
      <c r="V141" s="109">
        <f t="shared" si="73"/>
        <v>17095</v>
      </c>
      <c r="W141" s="109">
        <f t="shared" si="73"/>
        <v>17095</v>
      </c>
      <c r="X141" s="109">
        <f t="shared" si="73"/>
        <v>17095</v>
      </c>
      <c r="Y141" s="109">
        <f t="shared" si="73"/>
        <v>17095</v>
      </c>
      <c r="Z141" s="109">
        <f t="shared" si="73"/>
        <v>17095</v>
      </c>
      <c r="AA141" s="109">
        <f t="shared" si="73"/>
        <v>17095</v>
      </c>
      <c r="AB141" s="109">
        <f t="shared" si="73"/>
        <v>17095</v>
      </c>
      <c r="AC141" s="109">
        <f t="shared" si="73"/>
        <v>17095</v>
      </c>
      <c r="AD141" s="109">
        <f t="shared" si="73"/>
        <v>17095</v>
      </c>
      <c r="AE141" s="109">
        <f t="shared" si="73"/>
        <v>17095</v>
      </c>
      <c r="AF141" s="109">
        <f t="shared" si="73"/>
        <v>17095</v>
      </c>
      <c r="AG141" s="109">
        <f t="shared" si="73"/>
        <v>17095</v>
      </c>
      <c r="AH141" s="109">
        <f t="shared" si="73"/>
        <v>17095</v>
      </c>
      <c r="AI141" s="109">
        <f t="shared" si="73"/>
        <v>17095</v>
      </c>
      <c r="AJ141" s="109">
        <f t="shared" si="73"/>
        <v>17095</v>
      </c>
      <c r="AK141" s="109">
        <f t="shared" si="73"/>
        <v>17095</v>
      </c>
      <c r="AL141" s="109">
        <f t="shared" si="73"/>
        <v>17095</v>
      </c>
      <c r="AM141" s="109">
        <f t="shared" si="73"/>
        <v>17095</v>
      </c>
      <c r="AN141" s="109">
        <f t="shared" si="73"/>
        <v>17095</v>
      </c>
      <c r="AO141" s="109">
        <f t="shared" si="73"/>
        <v>17095</v>
      </c>
      <c r="AP141" s="109">
        <f t="shared" si="73"/>
        <v>17095</v>
      </c>
      <c r="AQ141" s="109">
        <f t="shared" si="73"/>
        <v>17095</v>
      </c>
      <c r="AR141" s="109">
        <f t="shared" si="73"/>
        <v>17949</v>
      </c>
      <c r="AS141" s="109">
        <f t="shared" si="73"/>
        <v>17949</v>
      </c>
      <c r="AT141" s="109">
        <f t="shared" si="73"/>
        <v>17949</v>
      </c>
      <c r="AU141" s="109">
        <f t="shared" si="73"/>
        <v>17949</v>
      </c>
      <c r="AV141" s="109">
        <f t="shared" si="73"/>
        <v>17949</v>
      </c>
      <c r="AW141" s="109">
        <f t="shared" si="73"/>
        <v>17949</v>
      </c>
      <c r="AX141" s="109">
        <f t="shared" si="73"/>
        <v>17949</v>
      </c>
      <c r="AY141" s="109">
        <f t="shared" si="73"/>
        <v>17949</v>
      </c>
      <c r="AZ141" s="109">
        <f t="shared" si="73"/>
        <v>17949</v>
      </c>
      <c r="BA141" s="109">
        <f t="shared" si="73"/>
        <v>17949</v>
      </c>
      <c r="BB141" s="109">
        <f t="shared" si="73"/>
        <v>17949</v>
      </c>
      <c r="BC141" s="109">
        <f t="shared" si="73"/>
        <v>17949</v>
      </c>
      <c r="BD141" s="109">
        <f t="shared" si="73"/>
        <v>17949</v>
      </c>
      <c r="BE141" s="109">
        <f t="shared" si="73"/>
        <v>17949</v>
      </c>
      <c r="BF141" s="109">
        <f t="shared" si="73"/>
        <v>17949</v>
      </c>
      <c r="BG141" s="109">
        <f t="shared" si="73"/>
        <v>17949</v>
      </c>
      <c r="BH141" s="109">
        <f t="shared" si="73"/>
        <v>17949</v>
      </c>
      <c r="BI141" s="109">
        <f t="shared" si="73"/>
        <v>17949</v>
      </c>
      <c r="BJ141" s="109">
        <f t="shared" si="73"/>
        <v>17949</v>
      </c>
      <c r="BK141" s="109">
        <f t="shared" si="73"/>
        <v>17949</v>
      </c>
      <c r="BL141" s="109">
        <f t="shared" si="73"/>
        <v>17949</v>
      </c>
      <c r="BM141" s="109">
        <f t="shared" si="73"/>
        <v>17949</v>
      </c>
      <c r="BN141" s="109">
        <f t="shared" si="73"/>
        <v>17949</v>
      </c>
      <c r="BO141" s="109">
        <f t="shared" si="73"/>
        <v>17949</v>
      </c>
      <c r="BP141" s="109">
        <f t="shared" si="73"/>
        <v>17949</v>
      </c>
      <c r="BQ141" s="109">
        <f t="shared" si="73"/>
        <v>17949</v>
      </c>
      <c r="BR141" s="109">
        <f t="shared" si="73"/>
        <v>17949</v>
      </c>
      <c r="BS141" s="109">
        <f t="shared" si="73"/>
        <v>17949</v>
      </c>
      <c r="BT141" s="109">
        <f t="shared" ref="BT141:CA141" si="74">-BT130</f>
        <v>17949</v>
      </c>
      <c r="BU141" s="109">
        <f t="shared" si="74"/>
        <v>17949</v>
      </c>
      <c r="BV141" s="109">
        <f t="shared" si="74"/>
        <v>17949</v>
      </c>
      <c r="BW141" s="109">
        <f t="shared" si="74"/>
        <v>17949</v>
      </c>
      <c r="BX141" s="109">
        <f t="shared" si="74"/>
        <v>17949</v>
      </c>
      <c r="BY141" s="109">
        <f t="shared" si="74"/>
        <v>17949</v>
      </c>
      <c r="BZ141" s="109">
        <f t="shared" si="74"/>
        <v>17095</v>
      </c>
      <c r="CA141" s="109">
        <f t="shared" si="74"/>
        <v>17095</v>
      </c>
    </row>
    <row r="142" spans="1:79" customFormat="1" ht="14.25" x14ac:dyDescent="0.45">
      <c r="A142" s="136"/>
      <c r="B142" s="136"/>
      <c r="C142" s="125" t="s">
        <v>122</v>
      </c>
      <c r="D142" s="113" t="s">
        <v>83</v>
      </c>
      <c r="E142" s="113"/>
      <c r="F142" s="114" t="s">
        <v>76</v>
      </c>
      <c r="G142" s="113" t="s">
        <v>84</v>
      </c>
      <c r="H142" s="115">
        <f t="shared" ref="H142:BS142" si="75">H134+H130</f>
        <v>34189</v>
      </c>
      <c r="I142" s="115">
        <f t="shared" si="75"/>
        <v>34189</v>
      </c>
      <c r="J142" s="115">
        <f t="shared" si="75"/>
        <v>34189</v>
      </c>
      <c r="K142" s="115">
        <f t="shared" si="75"/>
        <v>34189</v>
      </c>
      <c r="L142" s="115">
        <f t="shared" si="75"/>
        <v>34189</v>
      </c>
      <c r="M142" s="115">
        <f t="shared" si="75"/>
        <v>34189</v>
      </c>
      <c r="N142" s="115">
        <f t="shared" si="75"/>
        <v>34189</v>
      </c>
      <c r="O142" s="115">
        <f t="shared" si="75"/>
        <v>34189</v>
      </c>
      <c r="P142" s="115">
        <f t="shared" si="75"/>
        <v>34189</v>
      </c>
      <c r="Q142" s="115">
        <f t="shared" si="75"/>
        <v>34189</v>
      </c>
      <c r="R142" s="115">
        <f t="shared" si="75"/>
        <v>34189</v>
      </c>
      <c r="S142" s="115">
        <f t="shared" si="75"/>
        <v>34189</v>
      </c>
      <c r="T142" s="115">
        <f t="shared" si="75"/>
        <v>34189</v>
      </c>
      <c r="U142" s="115">
        <f t="shared" si="75"/>
        <v>34189</v>
      </c>
      <c r="V142" s="115">
        <f t="shared" si="75"/>
        <v>34189</v>
      </c>
      <c r="W142" s="115">
        <f t="shared" si="75"/>
        <v>34189</v>
      </c>
      <c r="X142" s="115">
        <f t="shared" si="75"/>
        <v>34189</v>
      </c>
      <c r="Y142" s="115">
        <f t="shared" si="75"/>
        <v>34189</v>
      </c>
      <c r="Z142" s="115">
        <f t="shared" si="75"/>
        <v>34189</v>
      </c>
      <c r="AA142" s="115">
        <f t="shared" si="75"/>
        <v>34189</v>
      </c>
      <c r="AB142" s="115">
        <f t="shared" si="75"/>
        <v>34189</v>
      </c>
      <c r="AC142" s="115">
        <f t="shared" si="75"/>
        <v>34189</v>
      </c>
      <c r="AD142" s="115">
        <f t="shared" si="75"/>
        <v>34189</v>
      </c>
      <c r="AE142" s="115">
        <f t="shared" si="75"/>
        <v>34189</v>
      </c>
      <c r="AF142" s="115">
        <f t="shared" si="75"/>
        <v>34189</v>
      </c>
      <c r="AG142" s="115">
        <f t="shared" si="75"/>
        <v>34189</v>
      </c>
      <c r="AH142" s="115">
        <f t="shared" si="75"/>
        <v>34189</v>
      </c>
      <c r="AI142" s="115">
        <f t="shared" si="75"/>
        <v>34189</v>
      </c>
      <c r="AJ142" s="115">
        <f t="shared" si="75"/>
        <v>34189</v>
      </c>
      <c r="AK142" s="115">
        <f t="shared" si="75"/>
        <v>34189</v>
      </c>
      <c r="AL142" s="115">
        <f t="shared" si="75"/>
        <v>34189</v>
      </c>
      <c r="AM142" s="115">
        <f t="shared" si="75"/>
        <v>34189</v>
      </c>
      <c r="AN142" s="115">
        <f t="shared" si="75"/>
        <v>34189</v>
      </c>
      <c r="AO142" s="115">
        <f t="shared" si="75"/>
        <v>34189</v>
      </c>
      <c r="AP142" s="115">
        <f t="shared" si="75"/>
        <v>34189</v>
      </c>
      <c r="AQ142" s="115">
        <f t="shared" si="75"/>
        <v>34189</v>
      </c>
      <c r="AR142" s="115">
        <f t="shared" si="75"/>
        <v>35899</v>
      </c>
      <c r="AS142" s="115">
        <f t="shared" si="75"/>
        <v>35899</v>
      </c>
      <c r="AT142" s="115">
        <f t="shared" si="75"/>
        <v>35899</v>
      </c>
      <c r="AU142" s="115">
        <f t="shared" si="75"/>
        <v>35899</v>
      </c>
      <c r="AV142" s="115">
        <f t="shared" si="75"/>
        <v>35899</v>
      </c>
      <c r="AW142" s="115">
        <f t="shared" si="75"/>
        <v>35899</v>
      </c>
      <c r="AX142" s="115">
        <f t="shared" si="75"/>
        <v>35899</v>
      </c>
      <c r="AY142" s="115">
        <f t="shared" si="75"/>
        <v>35899</v>
      </c>
      <c r="AZ142" s="115">
        <f t="shared" si="75"/>
        <v>35899</v>
      </c>
      <c r="BA142" s="115">
        <f t="shared" si="75"/>
        <v>35899</v>
      </c>
      <c r="BB142" s="115">
        <f t="shared" si="75"/>
        <v>35899</v>
      </c>
      <c r="BC142" s="115">
        <f t="shared" si="75"/>
        <v>35899</v>
      </c>
      <c r="BD142" s="115">
        <f t="shared" si="75"/>
        <v>35899</v>
      </c>
      <c r="BE142" s="115">
        <f t="shared" si="75"/>
        <v>35899</v>
      </c>
      <c r="BF142" s="115">
        <f t="shared" si="75"/>
        <v>35899</v>
      </c>
      <c r="BG142" s="115">
        <f t="shared" si="75"/>
        <v>35899</v>
      </c>
      <c r="BH142" s="115">
        <f t="shared" si="75"/>
        <v>35899</v>
      </c>
      <c r="BI142" s="115">
        <f t="shared" si="75"/>
        <v>35899</v>
      </c>
      <c r="BJ142" s="115">
        <f t="shared" si="75"/>
        <v>35899</v>
      </c>
      <c r="BK142" s="115">
        <f t="shared" si="75"/>
        <v>35899</v>
      </c>
      <c r="BL142" s="115">
        <f t="shared" si="75"/>
        <v>35899</v>
      </c>
      <c r="BM142" s="115">
        <f t="shared" si="75"/>
        <v>35899</v>
      </c>
      <c r="BN142" s="115">
        <f t="shared" si="75"/>
        <v>35899</v>
      </c>
      <c r="BO142" s="115">
        <f t="shared" si="75"/>
        <v>35899</v>
      </c>
      <c r="BP142" s="115">
        <f t="shared" si="75"/>
        <v>35899</v>
      </c>
      <c r="BQ142" s="115">
        <f t="shared" si="75"/>
        <v>35899</v>
      </c>
      <c r="BR142" s="115">
        <f t="shared" si="75"/>
        <v>35899</v>
      </c>
      <c r="BS142" s="115">
        <f t="shared" si="75"/>
        <v>35899</v>
      </c>
      <c r="BT142" s="115">
        <f t="shared" ref="BT142:CA142" si="76">BT134+BT130</f>
        <v>35899</v>
      </c>
      <c r="BU142" s="115">
        <f t="shared" si="76"/>
        <v>35899</v>
      </c>
      <c r="BV142" s="115">
        <f t="shared" si="76"/>
        <v>35899</v>
      </c>
      <c r="BW142" s="115">
        <f t="shared" si="76"/>
        <v>35899</v>
      </c>
      <c r="BX142" s="115">
        <f t="shared" si="76"/>
        <v>35899</v>
      </c>
      <c r="BY142" s="115">
        <f t="shared" si="76"/>
        <v>35899</v>
      </c>
      <c r="BZ142" s="115">
        <f t="shared" si="76"/>
        <v>-14531</v>
      </c>
      <c r="CA142" s="115">
        <f t="shared" si="76"/>
        <v>-14531</v>
      </c>
    </row>
  </sheetData>
  <mergeCells count="24">
    <mergeCell ref="L28:L29"/>
    <mergeCell ref="B39:J39"/>
    <mergeCell ref="L39:R40"/>
    <mergeCell ref="T39:W40"/>
    <mergeCell ref="Y39:AD40"/>
    <mergeCell ref="B40:B41"/>
    <mergeCell ref="C40:C41"/>
    <mergeCell ref="D40:D41"/>
    <mergeCell ref="E40:E41"/>
    <mergeCell ref="F40:F41"/>
    <mergeCell ref="B28:B29"/>
    <mergeCell ref="C28:D28"/>
    <mergeCell ref="E28:F28"/>
    <mergeCell ref="G28:H28"/>
    <mergeCell ref="I28:J28"/>
    <mergeCell ref="K28:K29"/>
    <mergeCell ref="A136:B137"/>
    <mergeCell ref="A140:B142"/>
    <mergeCell ref="G40:G41"/>
    <mergeCell ref="I40:I41"/>
    <mergeCell ref="J40:J41"/>
    <mergeCell ref="A121:B123"/>
    <mergeCell ref="A129:B131"/>
    <mergeCell ref="A133:B134"/>
  </mergeCells>
  <pageMargins left="0.7" right="0.7" top="0.75" bottom="0.75" header="0.3" footer="0.3"/>
  <pageSetup paperSize="9" scale="10" fitToHeight="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5B085-1B82-461B-9581-5CB2820E5336}">
  <dimension ref="A1:A7"/>
  <sheetViews>
    <sheetView workbookViewId="0">
      <selection activeCell="A3" sqref="A3"/>
    </sheetView>
  </sheetViews>
  <sheetFormatPr defaultRowHeight="14.25" x14ac:dyDescent="0.45"/>
  <sheetData>
    <row r="1" spans="1:1" ht="19.5" x14ac:dyDescent="0.6">
      <c r="A1" s="133" t="s">
        <v>109</v>
      </c>
    </row>
    <row r="3" spans="1:1" x14ac:dyDescent="0.45">
      <c r="A3" t="s">
        <v>110</v>
      </c>
    </row>
    <row r="4" spans="1:1" x14ac:dyDescent="0.45">
      <c r="A4" t="s">
        <v>111</v>
      </c>
    </row>
    <row r="5" spans="1:1" x14ac:dyDescent="0.45">
      <c r="A5" t="s">
        <v>112</v>
      </c>
    </row>
    <row r="6" spans="1:1" x14ac:dyDescent="0.45">
      <c r="A6" t="s">
        <v>113</v>
      </c>
    </row>
    <row r="7" spans="1:1" x14ac:dyDescent="0.45">
      <c r="A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ReadMe</vt:lpstr>
      <vt:lpstr>LeaseCalculation</vt:lpstr>
      <vt:lpstr>PortfolioNotes</vt:lpstr>
      <vt:lpstr>LeaseCalculation!Print_Area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2026-10-06T07:29:44Z</dcterms:created>
  <dcterms:modified xsi:type="dcterms:W3CDTF">2026-10-06T11:08:49Z</dcterms:modified>
</cp:coreProperties>
</file>