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1E604F-501E-4A30-987C-2AFE0080920F}" xr6:coauthVersionLast="47" xr6:coauthVersionMax="47" xr10:uidLastSave="{00000000-0000-0000-0000-000000000000}"/>
  <bookViews>
    <workbookView xWindow="-98" yWindow="-98" windowWidth="21795" windowHeight="12975" firstSheet="6" activeTab="6" xr2:uid="{00000000-000D-0000-FFFF-FFFF00000000}"/>
  </bookViews>
  <sheets>
    <sheet name="Dashboard" sheetId="1" r:id="rId1"/>
    <sheet name="Assumptions" sheetId="2" r:id="rId2"/>
    <sheet name="Farming" sheetId="3" r:id="rId3"/>
    <sheet name="Hatchery" sheetId="4" r:id="rId4"/>
    <sheet name="FA Schedule" sheetId="5" r:id="rId5"/>
    <sheet name="Operations" sheetId="6" r:id="rId6"/>
    <sheet name="Working Capital" sheetId="7" r:id="rId7"/>
    <sheet name="Funding" sheetId="8" r:id="rId8"/>
    <sheet name="Income Statement" sheetId="9" r:id="rId9"/>
    <sheet name="Cash Flow" sheetId="10" r:id="rId10"/>
    <sheet name="Balance Sheet" sheetId="11" r:id="rId11"/>
    <sheet name="Segment Analysis" sheetId="12" r:id="rId12"/>
    <sheet name="Investment Analysis" sheetId="13" r:id="rId13"/>
    <sheet name="Owner Returns" sheetId="14" r:id="rId14"/>
    <sheet name="Loan Analysis" sheetId="15" r:id="rId15"/>
    <sheet name="Ratios" sheetId="16" r:id="rId16"/>
    <sheet name="Scenarios and Risk" sheetId="17" r:id="rId17"/>
    <sheet name="Sensitivity and Break-even" sheetId="18" r:id="rId18"/>
    <sheet name="Checks" sheetId="19" r:id="rId19"/>
  </sheets>
  <definedNames>
    <definedName name="_xlnm.Print_Area" localSheetId="0">Dashboard!$A$1:$J$96</definedName>
    <definedName name="_xlnm.Print_Area" localSheetId="2">Farming!$A$1:$P$62</definedName>
    <definedName name="_xlnm.Print_Area" localSheetId="3">Hatchery!$A$1:$P$58</definedName>
    <definedName name="_xlnm.Print_Area" localSheetId="5">Operations!$A$1:$K$75</definedName>
    <definedName name="_xlnm.Print_Titles" localSheetId="5">Operations!$4:$5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9" l="1"/>
  <c r="I29" i="18"/>
  <c r="H29" i="18"/>
  <c r="G29" i="18"/>
  <c r="F29" i="18"/>
  <c r="E29" i="18"/>
  <c r="E22" i="17"/>
  <c r="D22" i="17"/>
  <c r="C22" i="17"/>
  <c r="E21" i="17"/>
  <c r="D21" i="17"/>
  <c r="C21" i="17"/>
  <c r="E20" i="17"/>
  <c r="D20" i="17"/>
  <c r="C20" i="17"/>
  <c r="E19" i="17"/>
  <c r="D19" i="17"/>
  <c r="C19" i="17"/>
  <c r="E18" i="17"/>
  <c r="D18" i="17"/>
  <c r="C18" i="17"/>
  <c r="I4" i="16"/>
  <c r="H4" i="16"/>
  <c r="G4" i="16"/>
  <c r="F4" i="16"/>
  <c r="E4" i="16"/>
  <c r="E43" i="15"/>
  <c r="D41" i="15"/>
  <c r="D40" i="15"/>
  <c r="D39" i="15"/>
  <c r="D38" i="15"/>
  <c r="D37" i="15"/>
  <c r="D36" i="15"/>
  <c r="D35" i="15"/>
  <c r="I4" i="15"/>
  <c r="H4" i="15"/>
  <c r="G4" i="15"/>
  <c r="F4" i="15"/>
  <c r="E4" i="15"/>
  <c r="I4" i="14"/>
  <c r="H4" i="14"/>
  <c r="G4" i="14"/>
  <c r="F4" i="14"/>
  <c r="E4" i="14"/>
  <c r="I21" i="13"/>
  <c r="D11" i="13"/>
  <c r="D9" i="13"/>
  <c r="D8" i="13"/>
  <c r="D10" i="13" s="1"/>
  <c r="I4" i="13"/>
  <c r="H4" i="13"/>
  <c r="G4" i="13"/>
  <c r="F4" i="13"/>
  <c r="E4" i="13"/>
  <c r="B62" i="12"/>
  <c r="I28" i="12"/>
  <c r="H28" i="12"/>
  <c r="G28" i="12"/>
  <c r="F28" i="12"/>
  <c r="E28" i="12"/>
  <c r="I4" i="12"/>
  <c r="H4" i="12"/>
  <c r="G4" i="12"/>
  <c r="F4" i="12"/>
  <c r="E4" i="12"/>
  <c r="D21" i="11"/>
  <c r="D20" i="14" s="1"/>
  <c r="D15" i="11"/>
  <c r="D10" i="11"/>
  <c r="D9" i="11"/>
  <c r="I4" i="11"/>
  <c r="H4" i="11"/>
  <c r="G4" i="11"/>
  <c r="F4" i="11"/>
  <c r="E4" i="11"/>
  <c r="I16" i="10"/>
  <c r="E16" i="10"/>
  <c r="E58" i="10" s="1"/>
  <c r="I4" i="10"/>
  <c r="H4" i="10"/>
  <c r="G4" i="10"/>
  <c r="F4" i="10"/>
  <c r="E4" i="10"/>
  <c r="I26" i="9"/>
  <c r="H26" i="9"/>
  <c r="F26" i="9"/>
  <c r="I4" i="9"/>
  <c r="H4" i="9"/>
  <c r="F6" i="1" s="1"/>
  <c r="G4" i="9"/>
  <c r="F4" i="9"/>
  <c r="D6" i="1" s="1"/>
  <c r="E4" i="9"/>
  <c r="C6" i="1" s="1"/>
  <c r="C26" i="1" s="1"/>
  <c r="H31" i="8"/>
  <c r="G31" i="8"/>
  <c r="I25" i="8"/>
  <c r="H25" i="8"/>
  <c r="G25" i="8"/>
  <c r="F25" i="8"/>
  <c r="E25" i="8"/>
  <c r="I22" i="8"/>
  <c r="H22" i="8"/>
  <c r="G22" i="8"/>
  <c r="F22" i="8"/>
  <c r="E22" i="8"/>
  <c r="I4" i="8"/>
  <c r="H4" i="8"/>
  <c r="G4" i="8"/>
  <c r="F4" i="8"/>
  <c r="E4" i="8"/>
  <c r="D31" i="7"/>
  <c r="D30" i="7"/>
  <c r="D29" i="7"/>
  <c r="H24" i="7"/>
  <c r="I23" i="7"/>
  <c r="H23" i="7"/>
  <c r="G23" i="7"/>
  <c r="F23" i="7"/>
  <c r="E23" i="7"/>
  <c r="I22" i="7"/>
  <c r="I24" i="7" s="1"/>
  <c r="I34" i="16" s="1"/>
  <c r="H22" i="7"/>
  <c r="G22" i="7"/>
  <c r="G24" i="7" s="1"/>
  <c r="G34" i="16" s="1"/>
  <c r="E22" i="7"/>
  <c r="E24" i="7" s="1"/>
  <c r="I21" i="7"/>
  <c r="H21" i="7"/>
  <c r="G21" i="7"/>
  <c r="F21" i="7"/>
  <c r="E21" i="7"/>
  <c r="I20" i="7"/>
  <c r="H20" i="7"/>
  <c r="G20" i="7"/>
  <c r="F20" i="7"/>
  <c r="F22" i="7" s="1"/>
  <c r="F24" i="7" s="1"/>
  <c r="F34" i="16" s="1"/>
  <c r="E20" i="7"/>
  <c r="D15" i="7"/>
  <c r="I4" i="7"/>
  <c r="H4" i="7"/>
  <c r="G4" i="7"/>
  <c r="F4" i="7"/>
  <c r="E4" i="7"/>
  <c r="E72" i="6"/>
  <c r="G71" i="6"/>
  <c r="H71" i="6" s="1"/>
  <c r="I71" i="6" s="1"/>
  <c r="F71" i="6"/>
  <c r="E70" i="6"/>
  <c r="J69" i="6"/>
  <c r="F69" i="6"/>
  <c r="G69" i="6" s="1"/>
  <c r="H69" i="6" s="1"/>
  <c r="I69" i="6" s="1"/>
  <c r="E69" i="6"/>
  <c r="J68" i="6"/>
  <c r="G68" i="6"/>
  <c r="H68" i="6" s="1"/>
  <c r="I68" i="6" s="1"/>
  <c r="E68" i="6"/>
  <c r="F68" i="6" s="1"/>
  <c r="J67" i="6"/>
  <c r="E67" i="6"/>
  <c r="J66" i="6"/>
  <c r="F66" i="6"/>
  <c r="G66" i="6" s="1"/>
  <c r="H66" i="6" s="1"/>
  <c r="I66" i="6" s="1"/>
  <c r="J65" i="6"/>
  <c r="F65" i="6"/>
  <c r="J63" i="6"/>
  <c r="F63" i="6" s="1"/>
  <c r="G63" i="6"/>
  <c r="H63" i="6" s="1"/>
  <c r="I63" i="6" s="1"/>
  <c r="J62" i="6"/>
  <c r="F62" i="6"/>
  <c r="G62" i="6" s="1"/>
  <c r="H62" i="6" s="1"/>
  <c r="I62" i="6" s="1"/>
  <c r="J61" i="6"/>
  <c r="F61" i="6" s="1"/>
  <c r="G61" i="6" s="1"/>
  <c r="H61" i="6" s="1"/>
  <c r="I61" i="6" s="1"/>
  <c r="J60" i="6"/>
  <c r="F60" i="6"/>
  <c r="G60" i="6" s="1"/>
  <c r="H60" i="6" s="1"/>
  <c r="I60" i="6" s="1"/>
  <c r="J59" i="6"/>
  <c r="F59" i="6"/>
  <c r="G59" i="6" s="1"/>
  <c r="H59" i="6" s="1"/>
  <c r="I59" i="6" s="1"/>
  <c r="J58" i="6"/>
  <c r="F58" i="6" s="1"/>
  <c r="G58" i="6" s="1"/>
  <c r="H58" i="6" s="1"/>
  <c r="I58" i="6" s="1"/>
  <c r="J57" i="6"/>
  <c r="F57" i="6"/>
  <c r="G57" i="6" s="1"/>
  <c r="H57" i="6" s="1"/>
  <c r="I57" i="6" s="1"/>
  <c r="E57" i="6"/>
  <c r="J56" i="6"/>
  <c r="E56" i="6"/>
  <c r="E64" i="6" s="1"/>
  <c r="E36" i="6" s="1"/>
  <c r="I47" i="6"/>
  <c r="H47" i="6"/>
  <c r="G47" i="6"/>
  <c r="G26" i="9" s="1"/>
  <c r="F47" i="6"/>
  <c r="E47" i="6"/>
  <c r="E26" i="9" s="1"/>
  <c r="G32" i="6"/>
  <c r="I4" i="6"/>
  <c r="H4" i="6"/>
  <c r="G4" i="6"/>
  <c r="F4" i="6"/>
  <c r="E4" i="6"/>
  <c r="E80" i="5"/>
  <c r="E79" i="5"/>
  <c r="E78" i="5"/>
  <c r="E77" i="5"/>
  <c r="E76" i="5"/>
  <c r="E75" i="5"/>
  <c r="E74" i="5"/>
  <c r="E72" i="5"/>
  <c r="E68" i="5"/>
  <c r="D67" i="5"/>
  <c r="D63" i="5"/>
  <c r="D62" i="5"/>
  <c r="D29" i="5"/>
  <c r="C23" i="5"/>
  <c r="C22" i="5"/>
  <c r="C21" i="5"/>
  <c r="C20" i="5"/>
  <c r="C19" i="5"/>
  <c r="H16" i="5"/>
  <c r="E16" i="5"/>
  <c r="I15" i="5"/>
  <c r="I16" i="5" s="1"/>
  <c r="H15" i="5"/>
  <c r="H16" i="10" s="1"/>
  <c r="G15" i="5"/>
  <c r="E15" i="5"/>
  <c r="D13" i="5"/>
  <c r="D11" i="5"/>
  <c r="F10" i="5"/>
  <c r="D10" i="5"/>
  <c r="D9" i="5"/>
  <c r="F8" i="5"/>
  <c r="D8" i="5"/>
  <c r="I4" i="5"/>
  <c r="H4" i="5"/>
  <c r="G4" i="5"/>
  <c r="F4" i="5"/>
  <c r="E4" i="5"/>
  <c r="AV75" i="4"/>
  <c r="K55" i="4" s="1"/>
  <c r="AP75" i="4"/>
  <c r="AI75" i="4"/>
  <c r="V75" i="4"/>
  <c r="E55" i="4" s="1"/>
  <c r="G55" i="4" s="1"/>
  <c r="I75" i="4"/>
  <c r="AI74" i="4"/>
  <c r="V74" i="4"/>
  <c r="I74" i="4"/>
  <c r="AK73" i="4"/>
  <c r="AJ73" i="4"/>
  <c r="AH73" i="4"/>
  <c r="AG73" i="4"/>
  <c r="X73" i="4"/>
  <c r="W73" i="4"/>
  <c r="U73" i="4"/>
  <c r="T73" i="4"/>
  <c r="T64" i="4" s="1"/>
  <c r="S73" i="4"/>
  <c r="I73" i="4"/>
  <c r="AU72" i="4"/>
  <c r="AS72" i="4"/>
  <c r="AL72" i="4"/>
  <c r="AK72" i="4"/>
  <c r="AF72" i="4"/>
  <c r="T72" i="4"/>
  <c r="T63" i="4" s="1"/>
  <c r="S72" i="4"/>
  <c r="S63" i="4" s="1"/>
  <c r="L72" i="4"/>
  <c r="K72" i="4"/>
  <c r="J72" i="4"/>
  <c r="H72" i="4"/>
  <c r="G72" i="4"/>
  <c r="F72" i="4"/>
  <c r="AR67" i="4"/>
  <c r="AQ67" i="4"/>
  <c r="AN67" i="4"/>
  <c r="AM67" i="4"/>
  <c r="AE67" i="4"/>
  <c r="AD67" i="4"/>
  <c r="AC67" i="4"/>
  <c r="AB67" i="4"/>
  <c r="AA67" i="4"/>
  <c r="Z67" i="4"/>
  <c r="T67" i="4"/>
  <c r="R67" i="4"/>
  <c r="Q67" i="4"/>
  <c r="P67" i="4"/>
  <c r="O67" i="4"/>
  <c r="N67" i="4"/>
  <c r="M67" i="4"/>
  <c r="L67" i="4"/>
  <c r="E67" i="4"/>
  <c r="D67" i="4"/>
  <c r="C67" i="4"/>
  <c r="AI66" i="4"/>
  <c r="V66" i="4"/>
  <c r="I66" i="4"/>
  <c r="AI65" i="4"/>
  <c r="V65" i="4"/>
  <c r="I65" i="4"/>
  <c r="J64" i="4"/>
  <c r="H64" i="4"/>
  <c r="G64" i="4"/>
  <c r="F64" i="4"/>
  <c r="K63" i="4"/>
  <c r="J63" i="4"/>
  <c r="H63" i="4"/>
  <c r="H67" i="4" s="1"/>
  <c r="G63" i="4"/>
  <c r="G67" i="4" s="1"/>
  <c r="F63" i="4"/>
  <c r="I55" i="4"/>
  <c r="H55" i="4"/>
  <c r="J55" i="4" s="1"/>
  <c r="F55" i="4"/>
  <c r="B55" i="4"/>
  <c r="D55" i="4" s="1"/>
  <c r="O54" i="4"/>
  <c r="P54" i="4" s="1"/>
  <c r="I10" i="6" s="1"/>
  <c r="L54" i="4"/>
  <c r="J54" i="4"/>
  <c r="I54" i="4"/>
  <c r="H54" i="4"/>
  <c r="F54" i="4"/>
  <c r="E54" i="4"/>
  <c r="G54" i="4" s="1"/>
  <c r="B54" i="4"/>
  <c r="D54" i="4" s="1"/>
  <c r="F53" i="4"/>
  <c r="D53" i="4"/>
  <c r="B53" i="4"/>
  <c r="F52" i="4"/>
  <c r="L63" i="4" s="1"/>
  <c r="O46" i="4"/>
  <c r="L46" i="4"/>
  <c r="I46" i="4"/>
  <c r="H46" i="4"/>
  <c r="F46" i="4"/>
  <c r="E46" i="4"/>
  <c r="G46" i="4" s="1"/>
  <c r="F34" i="6" s="1"/>
  <c r="F16" i="9" s="1"/>
  <c r="D46" i="4"/>
  <c r="I44" i="4"/>
  <c r="L44" i="4" s="1"/>
  <c r="O44" i="4" s="1"/>
  <c r="F44" i="4"/>
  <c r="O41" i="4"/>
  <c r="L41" i="4"/>
  <c r="I41" i="4"/>
  <c r="E41" i="4"/>
  <c r="D41" i="4"/>
  <c r="B41" i="4"/>
  <c r="O40" i="4"/>
  <c r="I40" i="4"/>
  <c r="L40" i="4" s="1"/>
  <c r="B40" i="4"/>
  <c r="D40" i="4" s="1"/>
  <c r="D30" i="4"/>
  <c r="E29" i="4"/>
  <c r="G29" i="4" s="1"/>
  <c r="D29" i="4"/>
  <c r="E28" i="4"/>
  <c r="G28" i="4" s="1"/>
  <c r="D28" i="4"/>
  <c r="D27" i="4"/>
  <c r="E27" i="4" s="1"/>
  <c r="H26" i="4"/>
  <c r="G21" i="4"/>
  <c r="E21" i="4"/>
  <c r="C21" i="4"/>
  <c r="G19" i="4"/>
  <c r="E19" i="4"/>
  <c r="G13" i="4"/>
  <c r="E13" i="4"/>
  <c r="C13" i="4"/>
  <c r="I12" i="4"/>
  <c r="G12" i="4"/>
  <c r="AH72" i="4" s="1"/>
  <c r="E12" i="4"/>
  <c r="U72" i="4" s="1"/>
  <c r="U63" i="4" s="1"/>
  <c r="G11" i="4"/>
  <c r="E11" i="4"/>
  <c r="I10" i="4"/>
  <c r="G10" i="4"/>
  <c r="E10" i="4"/>
  <c r="I9" i="4"/>
  <c r="G9" i="4"/>
  <c r="Y72" i="4" s="1"/>
  <c r="I8" i="4"/>
  <c r="G8" i="4"/>
  <c r="X72" i="4" s="1"/>
  <c r="I7" i="4"/>
  <c r="G7" i="4"/>
  <c r="W72" i="4" s="1"/>
  <c r="AU76" i="3"/>
  <c r="AT76" i="3"/>
  <c r="AS76" i="3"/>
  <c r="AQ76" i="3"/>
  <c r="AP76" i="3"/>
  <c r="AO76" i="3"/>
  <c r="AM76" i="3"/>
  <c r="AL76" i="3"/>
  <c r="AK76" i="3"/>
  <c r="AH76" i="3"/>
  <c r="AG76" i="3"/>
  <c r="AF76" i="3"/>
  <c r="AD76" i="3"/>
  <c r="AC76" i="3"/>
  <c r="AB76" i="3"/>
  <c r="Z76" i="3"/>
  <c r="Y76" i="3"/>
  <c r="X76" i="3"/>
  <c r="U76" i="3"/>
  <c r="T76" i="3"/>
  <c r="S76" i="3"/>
  <c r="Q76" i="3"/>
  <c r="P76" i="3"/>
  <c r="O76" i="3"/>
  <c r="M76" i="3"/>
  <c r="L76" i="3"/>
  <c r="K76" i="3"/>
  <c r="H76" i="3"/>
  <c r="G76" i="3"/>
  <c r="F76" i="3"/>
  <c r="E76" i="3"/>
  <c r="D76" i="3"/>
  <c r="C76" i="3"/>
  <c r="AR75" i="3"/>
  <c r="AN75" i="3"/>
  <c r="R75" i="3"/>
  <c r="N75" i="3"/>
  <c r="J75" i="3"/>
  <c r="I75" i="3"/>
  <c r="B59" i="3" s="1"/>
  <c r="D59" i="3" s="1"/>
  <c r="E14" i="6" s="1"/>
  <c r="E74" i="3"/>
  <c r="D74" i="3"/>
  <c r="C74" i="3"/>
  <c r="AU69" i="3"/>
  <c r="AT69" i="3"/>
  <c r="AS69" i="3"/>
  <c r="AQ69" i="3"/>
  <c r="AP69" i="3"/>
  <c r="AO69" i="3"/>
  <c r="AM69" i="3"/>
  <c r="AL69" i="3"/>
  <c r="AK69" i="3"/>
  <c r="AH69" i="3"/>
  <c r="AG69" i="3"/>
  <c r="AF69" i="3"/>
  <c r="AD69" i="3"/>
  <c r="AC69" i="3"/>
  <c r="AB69" i="3"/>
  <c r="Z69" i="3"/>
  <c r="Y69" i="3"/>
  <c r="X69" i="3"/>
  <c r="U69" i="3"/>
  <c r="T69" i="3"/>
  <c r="S69" i="3"/>
  <c r="Q69" i="3"/>
  <c r="P69" i="3"/>
  <c r="O69" i="3"/>
  <c r="M69" i="3"/>
  <c r="L69" i="3"/>
  <c r="K69" i="3"/>
  <c r="H69" i="3"/>
  <c r="G69" i="3"/>
  <c r="F69" i="3"/>
  <c r="D69" i="3"/>
  <c r="R68" i="3"/>
  <c r="J68" i="3"/>
  <c r="I68" i="3"/>
  <c r="E68" i="3"/>
  <c r="D68" i="3"/>
  <c r="D67" i="3"/>
  <c r="C67" i="3"/>
  <c r="F59" i="3"/>
  <c r="L58" i="3"/>
  <c r="I58" i="3"/>
  <c r="F58" i="3"/>
  <c r="N53" i="3"/>
  <c r="F50" i="3"/>
  <c r="I50" i="3" s="1"/>
  <c r="L50" i="3" s="1"/>
  <c r="O50" i="3" s="1"/>
  <c r="P49" i="3"/>
  <c r="M49" i="3"/>
  <c r="J49" i="3"/>
  <c r="G49" i="3"/>
  <c r="E49" i="3"/>
  <c r="H49" i="3" s="1"/>
  <c r="D49" i="3"/>
  <c r="E33" i="3"/>
  <c r="E29" i="3"/>
  <c r="B29" i="3"/>
  <c r="B49" i="3" s="1"/>
  <c r="D28" i="3"/>
  <c r="E28" i="3" s="1"/>
  <c r="E27" i="3"/>
  <c r="D27" i="3"/>
  <c r="D29" i="3" s="1"/>
  <c r="J15" i="3" s="1"/>
  <c r="F26" i="3"/>
  <c r="M19" i="3"/>
  <c r="L19" i="3"/>
  <c r="J17" i="3"/>
  <c r="I17" i="3"/>
  <c r="F13" i="3"/>
  <c r="G11" i="3"/>
  <c r="G10" i="3"/>
  <c r="D9" i="3"/>
  <c r="D22" i="3" s="1"/>
  <c r="D76" i="2"/>
  <c r="D71" i="2"/>
  <c r="D70" i="2"/>
  <c r="D75" i="2" s="1"/>
  <c r="AO74" i="4" s="1"/>
  <c r="AV74" i="4" s="1"/>
  <c r="K54" i="4" s="1"/>
  <c r="M54" i="4" s="1"/>
  <c r="H10" i="6" s="1"/>
  <c r="D60" i="2"/>
  <c r="E36" i="2"/>
  <c r="F36" i="2" s="1"/>
  <c r="D36" i="2"/>
  <c r="E35" i="2"/>
  <c r="F35" i="2" s="1"/>
  <c r="D35" i="2"/>
  <c r="F34" i="2"/>
  <c r="E34" i="2"/>
  <c r="D34" i="2"/>
  <c r="E33" i="2"/>
  <c r="D33" i="2"/>
  <c r="F33" i="2" s="1"/>
  <c r="E32" i="2"/>
  <c r="D32" i="2"/>
  <c r="F32" i="2" s="1"/>
  <c r="E31" i="2"/>
  <c r="F31" i="2" s="1"/>
  <c r="D31" i="2"/>
  <c r="F30" i="2"/>
  <c r="E30" i="2"/>
  <c r="D30" i="2"/>
  <c r="G18" i="2"/>
  <c r="G17" i="2"/>
  <c r="G16" i="2"/>
  <c r="G15" i="2"/>
  <c r="H32" i="6" s="1"/>
  <c r="G14" i="2"/>
  <c r="D11" i="2"/>
  <c r="B3" i="6" s="1"/>
  <c r="C40" i="1"/>
  <c r="G37" i="1"/>
  <c r="F37" i="1"/>
  <c r="E37" i="1"/>
  <c r="D37" i="1"/>
  <c r="G34" i="1"/>
  <c r="C34" i="1"/>
  <c r="G6" i="1"/>
  <c r="G40" i="1" s="1"/>
  <c r="E6" i="1"/>
  <c r="B1" i="1"/>
  <c r="F34" i="1" l="1"/>
  <c r="F26" i="1"/>
  <c r="F40" i="1"/>
  <c r="E32" i="6"/>
  <c r="C49" i="3"/>
  <c r="E10" i="12"/>
  <c r="E17" i="9"/>
  <c r="I63" i="4"/>
  <c r="I67" i="4" s="1"/>
  <c r="E22" i="6"/>
  <c r="E24" i="6"/>
  <c r="E21" i="6"/>
  <c r="E23" i="6"/>
  <c r="F22" i="6"/>
  <c r="F23" i="6"/>
  <c r="B3" i="16"/>
  <c r="F11" i="6"/>
  <c r="O58" i="3"/>
  <c r="I19" i="6" s="1"/>
  <c r="H19" i="6"/>
  <c r="H25" i="6" s="1"/>
  <c r="V75" i="3"/>
  <c r="E59" i="3" s="1"/>
  <c r="G59" i="3" s="1"/>
  <c r="F14" i="6" s="1"/>
  <c r="N68" i="3"/>
  <c r="V68" i="3" s="1"/>
  <c r="I64" i="4"/>
  <c r="AV73" i="4"/>
  <c r="K53" i="4" s="1"/>
  <c r="G11" i="6"/>
  <c r="H34" i="16"/>
  <c r="D32" i="7"/>
  <c r="I15" i="3"/>
  <c r="I14" i="3"/>
  <c r="I22" i="3" s="1"/>
  <c r="L18" i="3"/>
  <c r="F11" i="3"/>
  <c r="F10" i="3"/>
  <c r="F22" i="3" s="1"/>
  <c r="L21" i="3"/>
  <c r="E35" i="3"/>
  <c r="C9" i="3"/>
  <c r="C22" i="3" s="1"/>
  <c r="E34" i="3"/>
  <c r="E11" i="6"/>
  <c r="G16" i="10"/>
  <c r="G16" i="5"/>
  <c r="I49" i="3"/>
  <c r="K49" i="3"/>
  <c r="F56" i="6"/>
  <c r="V63" i="4"/>
  <c r="J67" i="4"/>
  <c r="H23" i="6"/>
  <c r="E36" i="3"/>
  <c r="G36" i="3" s="1"/>
  <c r="AI72" i="4"/>
  <c r="H52" i="4" s="1"/>
  <c r="J52" i="4" s="1"/>
  <c r="H41" i="4"/>
  <c r="G41" i="4"/>
  <c r="E20" i="6"/>
  <c r="G65" i="6"/>
  <c r="E34" i="16"/>
  <c r="C37" i="1"/>
  <c r="B3" i="18"/>
  <c r="B3" i="14"/>
  <c r="B3" i="19"/>
  <c r="B3" i="17"/>
  <c r="B3" i="13"/>
  <c r="B3" i="9"/>
  <c r="B3" i="7"/>
  <c r="B3" i="1"/>
  <c r="B3" i="15"/>
  <c r="B3" i="11"/>
  <c r="B3" i="12"/>
  <c r="B3" i="8"/>
  <c r="B3" i="10"/>
  <c r="G10" i="6"/>
  <c r="M55" i="4"/>
  <c r="H11" i="6" s="1"/>
  <c r="E20" i="5"/>
  <c r="B3" i="5"/>
  <c r="G27" i="4"/>
  <c r="G32" i="4" s="1"/>
  <c r="D43" i="4" s="1"/>
  <c r="E32" i="4"/>
  <c r="B43" i="4" s="1"/>
  <c r="E43" i="4" s="1"/>
  <c r="B44" i="4"/>
  <c r="F24" i="6"/>
  <c r="E19" i="6"/>
  <c r="E10" i="6"/>
  <c r="D34" i="1"/>
  <c r="D26" i="1"/>
  <c r="D40" i="1"/>
  <c r="E24" i="12"/>
  <c r="E9" i="6"/>
  <c r="I23" i="6"/>
  <c r="G22" i="3"/>
  <c r="C69" i="3"/>
  <c r="G24" i="6"/>
  <c r="E67" i="3"/>
  <c r="E69" i="3" s="1"/>
  <c r="I74" i="3"/>
  <c r="K46" i="4"/>
  <c r="J46" i="4"/>
  <c r="G34" i="6" s="1"/>
  <c r="G16" i="9" s="1"/>
  <c r="F10" i="6"/>
  <c r="F15" i="5"/>
  <c r="H34" i="5"/>
  <c r="H27" i="15" s="1"/>
  <c r="G34" i="5"/>
  <c r="G27" i="15" s="1"/>
  <c r="H22" i="5"/>
  <c r="F22" i="5"/>
  <c r="I22" i="5" s="1"/>
  <c r="F20" i="6"/>
  <c r="I59" i="3"/>
  <c r="E40" i="4"/>
  <c r="L55" i="4"/>
  <c r="V72" i="4"/>
  <c r="E52" i="4" s="1"/>
  <c r="G52" i="4" s="1"/>
  <c r="D31" i="5"/>
  <c r="E34" i="5"/>
  <c r="E27" i="15" s="1"/>
  <c r="E22" i="5"/>
  <c r="F32" i="6"/>
  <c r="F49" i="3"/>
  <c r="S64" i="4"/>
  <c r="V73" i="4"/>
  <c r="E53" i="4" s="1"/>
  <c r="G53" i="4" s="1"/>
  <c r="F9" i="6" s="1"/>
  <c r="I32" i="6"/>
  <c r="D42" i="4"/>
  <c r="E31" i="6" s="1"/>
  <c r="E33" i="6" s="1"/>
  <c r="E15" i="9" s="1"/>
  <c r="D9" i="8"/>
  <c r="E19" i="5"/>
  <c r="F19" i="5" s="1"/>
  <c r="G22" i="5"/>
  <c r="I44" i="10"/>
  <c r="G48" i="1" s="1"/>
  <c r="I17" i="10"/>
  <c r="G28" i="1" s="1"/>
  <c r="I58" i="10"/>
  <c r="S67" i="4"/>
  <c r="G26" i="1"/>
  <c r="F19" i="6"/>
  <c r="F25" i="6" s="1"/>
  <c r="AG72" i="4"/>
  <c r="I11" i="4"/>
  <c r="AT72" i="4" s="1"/>
  <c r="G23" i="6"/>
  <c r="F67" i="4"/>
  <c r="AF73" i="4"/>
  <c r="F34" i="5"/>
  <c r="F27" i="15" s="1"/>
  <c r="AE75" i="3"/>
  <c r="AE68" i="3" s="1"/>
  <c r="AA75" i="3"/>
  <c r="AA68" i="3" s="1"/>
  <c r="W75" i="3"/>
  <c r="U64" i="4"/>
  <c r="U67" i="4" s="1"/>
  <c r="I53" i="4"/>
  <c r="D14" i="5"/>
  <c r="M21" i="3"/>
  <c r="J14" i="3"/>
  <c r="J22" i="3" s="1"/>
  <c r="G13" i="3"/>
  <c r="AJ72" i="4"/>
  <c r="I13" i="4"/>
  <c r="F21" i="6"/>
  <c r="I52" i="4"/>
  <c r="Y63" i="4" s="1"/>
  <c r="Y67" i="4" s="1"/>
  <c r="H21" i="13"/>
  <c r="H44" i="10"/>
  <c r="F48" i="1" s="1"/>
  <c r="H17" i="10"/>
  <c r="F28" i="1" s="1"/>
  <c r="H58" i="10"/>
  <c r="G19" i="6"/>
  <c r="J74" i="3"/>
  <c r="E34" i="1"/>
  <c r="E26" i="1"/>
  <c r="E40" i="1"/>
  <c r="M18" i="3"/>
  <c r="M22" i="3" s="1"/>
  <c r="AJ75" i="3"/>
  <c r="K64" i="4"/>
  <c r="V64" i="4" s="1"/>
  <c r="AO65" i="4"/>
  <c r="I72" i="4"/>
  <c r="B52" i="4" s="1"/>
  <c r="D52" i="4" s="1"/>
  <c r="I30" i="13"/>
  <c r="G31" i="5"/>
  <c r="D34" i="5"/>
  <c r="D27" i="15" s="1"/>
  <c r="I31" i="5"/>
  <c r="H31" i="5"/>
  <c r="F31" i="5"/>
  <c r="E31" i="5"/>
  <c r="I34" i="5"/>
  <c r="I27" i="15" s="1"/>
  <c r="D8" i="8"/>
  <c r="E44" i="6"/>
  <c r="I31" i="8"/>
  <c r="F31" i="8"/>
  <c r="E31" i="8"/>
  <c r="E81" i="5"/>
  <c r="E82" i="5" s="1"/>
  <c r="F67" i="6"/>
  <c r="E34" i="6"/>
  <c r="E16" i="9" s="1"/>
  <c r="E73" i="6"/>
  <c r="E21" i="13"/>
  <c r="E44" i="10"/>
  <c r="C48" i="1" s="1"/>
  <c r="E17" i="10"/>
  <c r="C28" i="1" s="1"/>
  <c r="L49" i="3" l="1"/>
  <c r="N49" i="3"/>
  <c r="O49" i="3" s="1"/>
  <c r="I25" i="6"/>
  <c r="AV72" i="4"/>
  <c r="K52" i="4" s="1"/>
  <c r="F70" i="6"/>
  <c r="F72" i="6" s="1"/>
  <c r="G67" i="6"/>
  <c r="F44" i="6"/>
  <c r="J76" i="3"/>
  <c r="AJ74" i="3"/>
  <c r="J67" i="3"/>
  <c r="AE74" i="3"/>
  <c r="AA74" i="3"/>
  <c r="N74" i="3"/>
  <c r="W74" i="3"/>
  <c r="R74" i="3"/>
  <c r="V74" i="3" s="1"/>
  <c r="AR74" i="3"/>
  <c r="AN74" i="3"/>
  <c r="C43" i="4"/>
  <c r="F43" i="4" s="1"/>
  <c r="I43" i="4" s="1"/>
  <c r="L43" i="4" s="1"/>
  <c r="O43" i="4" s="1"/>
  <c r="D45" i="4"/>
  <c r="E28" i="6" s="1"/>
  <c r="AO67" i="4"/>
  <c r="AV65" i="4"/>
  <c r="L53" i="4"/>
  <c r="G22" i="6"/>
  <c r="X64" i="4"/>
  <c r="W64" i="4"/>
  <c r="K41" i="4"/>
  <c r="J41" i="4"/>
  <c r="G8" i="6"/>
  <c r="H24" i="6"/>
  <c r="O55" i="4"/>
  <c r="AP66" i="4"/>
  <c r="L22" i="3"/>
  <c r="E45" i="6"/>
  <c r="E46" i="6" s="1"/>
  <c r="L59" i="3"/>
  <c r="G20" i="6"/>
  <c r="D44" i="4"/>
  <c r="D47" i="4" s="1"/>
  <c r="E44" i="4"/>
  <c r="I76" i="3"/>
  <c r="B58" i="3"/>
  <c r="D58" i="3" s="1"/>
  <c r="K67" i="4"/>
  <c r="H65" i="6"/>
  <c r="AG64" i="4"/>
  <c r="F16" i="10"/>
  <c r="F16" i="5"/>
  <c r="G56" i="6"/>
  <c r="F64" i="6"/>
  <c r="F36" i="6" s="1"/>
  <c r="G21" i="6"/>
  <c r="L52" i="4"/>
  <c r="AJ63" i="4" s="1"/>
  <c r="AH63" i="4"/>
  <c r="AH67" i="4" s="1"/>
  <c r="W63" i="4"/>
  <c r="AF63" i="4"/>
  <c r="G44" i="10"/>
  <c r="E48" i="1" s="1"/>
  <c r="G17" i="10"/>
  <c r="E28" i="1" s="1"/>
  <c r="G21" i="13"/>
  <c r="G58" i="10"/>
  <c r="AH64" i="4"/>
  <c r="H43" i="4"/>
  <c r="G25" i="6"/>
  <c r="F23" i="5"/>
  <c r="E23" i="5"/>
  <c r="G23" i="5" s="1"/>
  <c r="X63" i="4"/>
  <c r="X67" i="4" s="1"/>
  <c r="I67" i="3"/>
  <c r="I69" i="3" s="1"/>
  <c r="E41" i="3"/>
  <c r="E42" i="3"/>
  <c r="E40" i="3"/>
  <c r="E43" i="3" s="1"/>
  <c r="B50" i="3" s="1"/>
  <c r="D50" i="3" s="1"/>
  <c r="N53" i="4"/>
  <c r="M53" i="4"/>
  <c r="H9" i="6" s="1"/>
  <c r="G19" i="5"/>
  <c r="H19" i="5" s="1"/>
  <c r="F41" i="3"/>
  <c r="F42" i="3"/>
  <c r="F40" i="3"/>
  <c r="F43" i="3" s="1"/>
  <c r="E50" i="3" s="1"/>
  <c r="G50" i="3" s="1"/>
  <c r="AJ68" i="3"/>
  <c r="AV75" i="3"/>
  <c r="K59" i="3" s="1"/>
  <c r="AI75" i="3"/>
  <c r="H59" i="3" s="1"/>
  <c r="J59" i="3" s="1"/>
  <c r="G14" i="6" s="1"/>
  <c r="W68" i="3"/>
  <c r="AI68" i="3" s="1"/>
  <c r="G56" i="4"/>
  <c r="F8" i="6"/>
  <c r="F12" i="6" s="1"/>
  <c r="M46" i="4"/>
  <c r="H34" i="6" s="1"/>
  <c r="H16" i="9" s="1"/>
  <c r="N46" i="4"/>
  <c r="P46" i="4" s="1"/>
  <c r="I34" i="6" s="1"/>
  <c r="I16" i="9" s="1"/>
  <c r="H40" i="4"/>
  <c r="G40" i="4"/>
  <c r="G40" i="3"/>
  <c r="G41" i="3"/>
  <c r="G42" i="3"/>
  <c r="AF64" i="4"/>
  <c r="AI73" i="4"/>
  <c r="H53" i="4" s="1"/>
  <c r="J53" i="4" s="1"/>
  <c r="G9" i="6" s="1"/>
  <c r="D12" i="5"/>
  <c r="E84" i="5"/>
  <c r="D56" i="4"/>
  <c r="E8" i="6"/>
  <c r="E12" i="6" s="1"/>
  <c r="AG63" i="4"/>
  <c r="AG67" i="4" s="1"/>
  <c r="F20" i="5"/>
  <c r="V67" i="4"/>
  <c r="E13" i="12" l="1"/>
  <c r="E48" i="6"/>
  <c r="E23" i="9"/>
  <c r="E27" i="12"/>
  <c r="I19" i="5"/>
  <c r="AJ67" i="4"/>
  <c r="V76" i="3"/>
  <c r="E58" i="3"/>
  <c r="G58" i="3" s="1"/>
  <c r="P53" i="4"/>
  <c r="I9" i="6" s="1"/>
  <c r="I31" i="13"/>
  <c r="E21" i="5"/>
  <c r="E24" i="5" s="1"/>
  <c r="D10" i="8"/>
  <c r="D11" i="8" s="1"/>
  <c r="G28" i="5"/>
  <c r="D28" i="5"/>
  <c r="F28" i="5"/>
  <c r="E28" i="5"/>
  <c r="H28" i="5"/>
  <c r="I28" i="5"/>
  <c r="D15" i="5"/>
  <c r="G70" i="6"/>
  <c r="G44" i="6" s="1"/>
  <c r="H67" i="6"/>
  <c r="J56" i="4"/>
  <c r="F17" i="9"/>
  <c r="F10" i="12"/>
  <c r="F24" i="12"/>
  <c r="F29" i="6"/>
  <c r="F23" i="12" s="1"/>
  <c r="G51" i="3"/>
  <c r="AI74" i="3"/>
  <c r="W67" i="3"/>
  <c r="W76" i="3"/>
  <c r="G42" i="4"/>
  <c r="F31" i="6" s="1"/>
  <c r="F33" i="6" s="1"/>
  <c r="F15" i="9" s="1"/>
  <c r="N67" i="3"/>
  <c r="N69" i="3" s="1"/>
  <c r="N76" i="3"/>
  <c r="AN67" i="3"/>
  <c r="AN69" i="3" s="1"/>
  <c r="AN76" i="3"/>
  <c r="AV68" i="3"/>
  <c r="G20" i="5"/>
  <c r="AT63" i="4"/>
  <c r="AT67" i="4" s="1"/>
  <c r="O59" i="3"/>
  <c r="I20" i="6" s="1"/>
  <c r="H20" i="6"/>
  <c r="AR68" i="3"/>
  <c r="AN68" i="3"/>
  <c r="K40" i="4"/>
  <c r="J40" i="4"/>
  <c r="AA67" i="3"/>
  <c r="AA69" i="3" s="1"/>
  <c r="AA76" i="3"/>
  <c r="H23" i="5"/>
  <c r="I23" i="5" s="1"/>
  <c r="G72" i="6"/>
  <c r="H22" i="6"/>
  <c r="O53" i="4"/>
  <c r="I22" i="6" s="1"/>
  <c r="AJ64" i="4"/>
  <c r="AK64" i="4"/>
  <c r="AE76" i="3"/>
  <c r="AE67" i="3"/>
  <c r="AE69" i="3" s="1"/>
  <c r="E9" i="12"/>
  <c r="E29" i="6"/>
  <c r="E23" i="12" s="1"/>
  <c r="D51" i="3"/>
  <c r="G12" i="6"/>
  <c r="N59" i="3"/>
  <c r="P59" i="3" s="1"/>
  <c r="I14" i="6" s="1"/>
  <c r="M59" i="3"/>
  <c r="H14" i="6" s="1"/>
  <c r="G43" i="4"/>
  <c r="AR76" i="3"/>
  <c r="AR67" i="3"/>
  <c r="F73" i="6"/>
  <c r="F45" i="6" s="1"/>
  <c r="F46" i="6" s="1"/>
  <c r="H44" i="4"/>
  <c r="G44" i="4"/>
  <c r="R67" i="3"/>
  <c r="R69" i="3" s="1"/>
  <c r="R76" i="3"/>
  <c r="G64" i="6"/>
  <c r="G36" i="6" s="1"/>
  <c r="H56" i="6"/>
  <c r="AI64" i="4"/>
  <c r="F21" i="13"/>
  <c r="F44" i="10"/>
  <c r="D48" i="1" s="1"/>
  <c r="F17" i="10"/>
  <c r="D28" i="1" s="1"/>
  <c r="F58" i="10"/>
  <c r="E8" i="12"/>
  <c r="E8" i="9"/>
  <c r="E38" i="6"/>
  <c r="E25" i="9" s="1"/>
  <c r="E37" i="6"/>
  <c r="AF67" i="4"/>
  <c r="G73" i="6"/>
  <c r="H40" i="3"/>
  <c r="H43" i="3" s="1"/>
  <c r="K50" i="3" s="1"/>
  <c r="H41" i="3"/>
  <c r="H42" i="3"/>
  <c r="J69" i="3"/>
  <c r="C14" i="19"/>
  <c r="I24" i="6"/>
  <c r="P55" i="4"/>
  <c r="I11" i="6" s="1"/>
  <c r="H21" i="6"/>
  <c r="O52" i="4"/>
  <c r="I21" i="6" s="1"/>
  <c r="AL63" i="4"/>
  <c r="AL67" i="4" s="1"/>
  <c r="AS63" i="4"/>
  <c r="AS67" i="4" s="1"/>
  <c r="AK63" i="4"/>
  <c r="AU63" i="4"/>
  <c r="AU67" i="4" s="1"/>
  <c r="E13" i="6"/>
  <c r="E15" i="6" s="1"/>
  <c r="E16" i="6" s="1"/>
  <c r="D60" i="3"/>
  <c r="J43" i="4"/>
  <c r="K43" i="4"/>
  <c r="M52" i="4"/>
  <c r="N52" i="4"/>
  <c r="N41" i="4"/>
  <c r="P41" i="4" s="1"/>
  <c r="M41" i="4"/>
  <c r="G43" i="3"/>
  <c r="H50" i="3" s="1"/>
  <c r="J50" i="3" s="1"/>
  <c r="F8" i="9"/>
  <c r="F38" i="6"/>
  <c r="F25" i="9" s="1"/>
  <c r="F8" i="12"/>
  <c r="F37" i="6"/>
  <c r="W67" i="4"/>
  <c r="AI63" i="4"/>
  <c r="I65" i="6"/>
  <c r="AP67" i="4"/>
  <c r="AV66" i="4"/>
  <c r="AJ67" i="3"/>
  <c r="AJ76" i="3"/>
  <c r="AV74" i="3"/>
  <c r="E8" i="7" l="1"/>
  <c r="E12" i="7" s="1"/>
  <c r="F13" i="12"/>
  <c r="F23" i="9"/>
  <c r="F27" i="9" s="1"/>
  <c r="F48" i="6"/>
  <c r="F35" i="18" s="1"/>
  <c r="F27" i="12"/>
  <c r="E33" i="5"/>
  <c r="I56" i="6"/>
  <c r="I64" i="6" s="1"/>
  <c r="I36" i="6" s="1"/>
  <c r="H64" i="6"/>
  <c r="H36" i="6" s="1"/>
  <c r="F33" i="5"/>
  <c r="G10" i="12"/>
  <c r="G17" i="9"/>
  <c r="G24" i="12"/>
  <c r="H8" i="6"/>
  <c r="H12" i="6" s="1"/>
  <c r="M56" i="4"/>
  <c r="AV63" i="4"/>
  <c r="AV67" i="4" s="1"/>
  <c r="N43" i="4"/>
  <c r="P43" i="4" s="1"/>
  <c r="M43" i="4"/>
  <c r="M40" i="4"/>
  <c r="N40" i="4"/>
  <c r="P40" i="4" s="1"/>
  <c r="F24" i="9"/>
  <c r="F14" i="12"/>
  <c r="E36" i="12"/>
  <c r="E11" i="12"/>
  <c r="K44" i="4"/>
  <c r="J44" i="4"/>
  <c r="J45" i="4" s="1"/>
  <c r="G28" i="6" s="1"/>
  <c r="H58" i="3"/>
  <c r="J58" i="3" s="1"/>
  <c r="AI76" i="3"/>
  <c r="I20" i="5"/>
  <c r="G37" i="6"/>
  <c r="G8" i="12"/>
  <c r="G8" i="9"/>
  <c r="G38" i="6"/>
  <c r="G25" i="9" s="1"/>
  <c r="E24" i="9"/>
  <c r="E14" i="12"/>
  <c r="D33" i="5"/>
  <c r="D30" i="5"/>
  <c r="AI67" i="4"/>
  <c r="J42" i="4"/>
  <c r="G31" i="6" s="1"/>
  <c r="G33" i="6" s="1"/>
  <c r="G15" i="9" s="1"/>
  <c r="J7" i="1"/>
  <c r="D16" i="8"/>
  <c r="E22" i="12"/>
  <c r="E9" i="9"/>
  <c r="E10" i="9" s="1"/>
  <c r="H70" i="6"/>
  <c r="H44" i="6"/>
  <c r="I67" i="6"/>
  <c r="G29" i="6"/>
  <c r="G23" i="12" s="1"/>
  <c r="J51" i="3"/>
  <c r="G45" i="6"/>
  <c r="G46" i="6" s="1"/>
  <c r="G33" i="5"/>
  <c r="E30" i="6"/>
  <c r="F36" i="12"/>
  <c r="G47" i="4"/>
  <c r="E29" i="5"/>
  <c r="E30" i="5" s="1"/>
  <c r="E32" i="5" s="1"/>
  <c r="E25" i="5"/>
  <c r="E30" i="9"/>
  <c r="E16" i="12"/>
  <c r="E30" i="12"/>
  <c r="AV64" i="4"/>
  <c r="D16" i="5"/>
  <c r="D16" i="10"/>
  <c r="F21" i="5"/>
  <c r="M50" i="3"/>
  <c r="N50" i="3"/>
  <c r="P50" i="3" s="1"/>
  <c r="H33" i="5"/>
  <c r="F13" i="6"/>
  <c r="F15" i="6" s="1"/>
  <c r="G60" i="3"/>
  <c r="P52" i="4"/>
  <c r="H20" i="5"/>
  <c r="V67" i="3"/>
  <c r="V69" i="3" s="1"/>
  <c r="E27" i="9"/>
  <c r="AV76" i="3"/>
  <c r="K58" i="3"/>
  <c r="AR69" i="3"/>
  <c r="AJ69" i="3"/>
  <c r="AV67" i="3"/>
  <c r="AV69" i="3" s="1"/>
  <c r="AK67" i="4"/>
  <c r="G45" i="4"/>
  <c r="F28" i="6" s="1"/>
  <c r="W69" i="3"/>
  <c r="AI67" i="3"/>
  <c r="AI69" i="3" s="1"/>
  <c r="I33" i="5"/>
  <c r="E8" i="11" l="1"/>
  <c r="E53" i="12"/>
  <c r="E54" i="12"/>
  <c r="G48" i="6"/>
  <c r="G35" i="18" s="1"/>
  <c r="G13" i="12"/>
  <c r="G23" i="9"/>
  <c r="G27" i="12"/>
  <c r="E33" i="16"/>
  <c r="C30" i="17"/>
  <c r="E19" i="9"/>
  <c r="C7" i="1"/>
  <c r="G9" i="12"/>
  <c r="G30" i="6"/>
  <c r="H10" i="12"/>
  <c r="H17" i="9"/>
  <c r="H24" i="12"/>
  <c r="G14" i="12"/>
  <c r="G24" i="9"/>
  <c r="N58" i="3"/>
  <c r="P58" i="3" s="1"/>
  <c r="M58" i="3"/>
  <c r="M45" i="4"/>
  <c r="H28" i="6" s="1"/>
  <c r="G13" i="6"/>
  <c r="G15" i="6" s="1"/>
  <c r="J60" i="3"/>
  <c r="I70" i="6"/>
  <c r="I44" i="6"/>
  <c r="I8" i="6"/>
  <c r="I12" i="6" s="1"/>
  <c r="P56" i="4"/>
  <c r="H29" i="6"/>
  <c r="H23" i="12" s="1"/>
  <c r="M51" i="3"/>
  <c r="F24" i="5"/>
  <c r="H21" i="5"/>
  <c r="H24" i="5" s="1"/>
  <c r="D17" i="10"/>
  <c r="D21" i="13"/>
  <c r="D23" i="13" s="1"/>
  <c r="E53" i="10"/>
  <c r="C12" i="1"/>
  <c r="H38" i="6"/>
  <c r="H25" i="9" s="1"/>
  <c r="H8" i="9"/>
  <c r="H8" i="12"/>
  <c r="H37" i="6"/>
  <c r="M44" i="4"/>
  <c r="N44" i="4"/>
  <c r="P44" i="4" s="1"/>
  <c r="P45" i="4" s="1"/>
  <c r="I28" i="6" s="1"/>
  <c r="E14" i="9"/>
  <c r="E18" i="9" s="1"/>
  <c r="E35" i="6"/>
  <c r="E15" i="12"/>
  <c r="E12" i="12"/>
  <c r="F22" i="12"/>
  <c r="F9" i="9"/>
  <c r="F10" i="9" s="1"/>
  <c r="F16" i="6"/>
  <c r="P42" i="4"/>
  <c r="I31" i="6" s="1"/>
  <c r="I33" i="6" s="1"/>
  <c r="I15" i="9" s="1"/>
  <c r="I10" i="12"/>
  <c r="I17" i="9"/>
  <c r="I24" i="12"/>
  <c r="G21" i="5"/>
  <c r="G24" i="5" s="1"/>
  <c r="H72" i="6"/>
  <c r="H73" i="6" s="1"/>
  <c r="H45" i="6" s="1"/>
  <c r="H46" i="6" s="1"/>
  <c r="E25" i="12"/>
  <c r="E39" i="12"/>
  <c r="E42" i="12"/>
  <c r="I29" i="6"/>
  <c r="I23" i="12" s="1"/>
  <c r="P51" i="3"/>
  <c r="D27" i="8"/>
  <c r="D12" i="13"/>
  <c r="I28" i="8"/>
  <c r="J10" i="1"/>
  <c r="E28" i="8"/>
  <c r="H28" i="8"/>
  <c r="F28" i="8"/>
  <c r="G28" i="8"/>
  <c r="M42" i="4"/>
  <c r="H31" i="6" s="1"/>
  <c r="H33" i="6" s="1"/>
  <c r="H15" i="9" s="1"/>
  <c r="M47" i="4"/>
  <c r="J47" i="4"/>
  <c r="D32" i="5"/>
  <c r="F53" i="10"/>
  <c r="D12" i="1"/>
  <c r="F30" i="6"/>
  <c r="F9" i="12"/>
  <c r="F11" i="12" s="1"/>
  <c r="E9" i="10"/>
  <c r="G36" i="12"/>
  <c r="G11" i="12"/>
  <c r="E10" i="10"/>
  <c r="E42" i="10" s="1"/>
  <c r="C46" i="1" s="1"/>
  <c r="E9" i="11"/>
  <c r="H13" i="12" l="1"/>
  <c r="H23" i="9"/>
  <c r="H48" i="6"/>
  <c r="H35" i="18" s="1"/>
  <c r="H27" i="12"/>
  <c r="H16" i="12"/>
  <c r="H30" i="9"/>
  <c r="H25" i="5"/>
  <c r="H30" i="12"/>
  <c r="I9" i="12"/>
  <c r="I30" i="6"/>
  <c r="F15" i="12"/>
  <c r="F12" i="12"/>
  <c r="I21" i="5"/>
  <c r="I24" i="5" s="1"/>
  <c r="F14" i="9"/>
  <c r="F18" i="9" s="1"/>
  <c r="F35" i="6"/>
  <c r="E48" i="12"/>
  <c r="E13" i="15"/>
  <c r="E21" i="10"/>
  <c r="D30" i="17"/>
  <c r="F19" i="9"/>
  <c r="F32" i="18"/>
  <c r="F11" i="9"/>
  <c r="D7" i="1"/>
  <c r="I16" i="6"/>
  <c r="I8" i="12"/>
  <c r="I8" i="9"/>
  <c r="I38" i="6"/>
  <c r="I25" i="9" s="1"/>
  <c r="I37" i="6"/>
  <c r="G27" i="9"/>
  <c r="F25" i="12"/>
  <c r="F39" i="12"/>
  <c r="I13" i="6"/>
  <c r="I15" i="6" s="1"/>
  <c r="P60" i="3"/>
  <c r="F13" i="15"/>
  <c r="F21" i="10"/>
  <c r="H36" i="12"/>
  <c r="I13" i="15"/>
  <c r="I21" i="10"/>
  <c r="I46" i="6"/>
  <c r="H9" i="12"/>
  <c r="H11" i="12" s="1"/>
  <c r="H30" i="6"/>
  <c r="F16" i="12"/>
  <c r="F25" i="5"/>
  <c r="F30" i="9"/>
  <c r="F30" i="12"/>
  <c r="I29" i="5"/>
  <c r="I30" i="5" s="1"/>
  <c r="I32" i="5" s="1"/>
  <c r="F29" i="5"/>
  <c r="F30" i="5" s="1"/>
  <c r="H29" i="5"/>
  <c r="H30" i="5" s="1"/>
  <c r="H32" i="5" s="1"/>
  <c r="G29" i="5"/>
  <c r="G30" i="5" s="1"/>
  <c r="G32" i="5" s="1"/>
  <c r="E20" i="9"/>
  <c r="E28" i="9"/>
  <c r="C10" i="1"/>
  <c r="G13" i="15"/>
  <c r="G21" i="10"/>
  <c r="H14" i="12"/>
  <c r="H24" i="9"/>
  <c r="P47" i="4"/>
  <c r="H13" i="15"/>
  <c r="H21" i="10"/>
  <c r="C15" i="19"/>
  <c r="F8" i="7"/>
  <c r="F12" i="7" s="1"/>
  <c r="D8" i="11"/>
  <c r="D53" i="12"/>
  <c r="D54" i="12"/>
  <c r="G16" i="12"/>
  <c r="G30" i="9"/>
  <c r="G25" i="5"/>
  <c r="G30" i="12"/>
  <c r="D24" i="13"/>
  <c r="D34" i="13"/>
  <c r="H13" i="6"/>
  <c r="H15" i="6" s="1"/>
  <c r="M60" i="3"/>
  <c r="C13" i="19" s="1"/>
  <c r="E47" i="12"/>
  <c r="E26" i="12"/>
  <c r="E29" i="12"/>
  <c r="G14" i="9"/>
  <c r="G18" i="9" s="1"/>
  <c r="G35" i="6"/>
  <c r="G12" i="12"/>
  <c r="G15" i="12"/>
  <c r="E55" i="12"/>
  <c r="E19" i="12"/>
  <c r="I72" i="6"/>
  <c r="I73" i="6"/>
  <c r="I45" i="6" s="1"/>
  <c r="D29" i="8"/>
  <c r="D20" i="10"/>
  <c r="E39" i="6"/>
  <c r="E9" i="7"/>
  <c r="C9" i="1"/>
  <c r="G22" i="12"/>
  <c r="G9" i="9"/>
  <c r="G10" i="9" s="1"/>
  <c r="G16" i="6"/>
  <c r="E51" i="10"/>
  <c r="H15" i="12" l="1"/>
  <c r="H12" i="12"/>
  <c r="F42" i="12"/>
  <c r="G9" i="7"/>
  <c r="G39" i="6"/>
  <c r="G40" i="6" s="1"/>
  <c r="E9" i="1"/>
  <c r="I13" i="12"/>
  <c r="I23" i="9"/>
  <c r="I27" i="9" s="1"/>
  <c r="I48" i="6"/>
  <c r="I35" i="18" s="1"/>
  <c r="I27" i="12"/>
  <c r="H53" i="12"/>
  <c r="H8" i="11"/>
  <c r="H54" i="12"/>
  <c r="I10" i="9"/>
  <c r="E30" i="15"/>
  <c r="E18" i="15"/>
  <c r="E19" i="15"/>
  <c r="G32" i="18"/>
  <c r="E30" i="17"/>
  <c r="G11" i="9"/>
  <c r="E7" i="1"/>
  <c r="G19" i="9"/>
  <c r="I53" i="12"/>
  <c r="I8" i="11"/>
  <c r="I54" i="12"/>
  <c r="I11" i="12"/>
  <c r="I36" i="12"/>
  <c r="E14" i="7"/>
  <c r="E13" i="7"/>
  <c r="I14" i="9"/>
  <c r="I18" i="9" s="1"/>
  <c r="I35" i="6"/>
  <c r="F29" i="12"/>
  <c r="F26" i="12"/>
  <c r="D16" i="11"/>
  <c r="D17" i="11" s="1"/>
  <c r="D23" i="15"/>
  <c r="E26" i="8"/>
  <c r="G53" i="10"/>
  <c r="E12" i="1"/>
  <c r="F10" i="10"/>
  <c r="F9" i="11"/>
  <c r="G9" i="10"/>
  <c r="G39" i="12"/>
  <c r="G25" i="12"/>
  <c r="H22" i="12"/>
  <c r="H9" i="9"/>
  <c r="H10" i="9" s="1"/>
  <c r="H16" i="6"/>
  <c r="I8" i="7"/>
  <c r="I12" i="7" s="1"/>
  <c r="G19" i="12"/>
  <c r="F19" i="12"/>
  <c r="H14" i="9"/>
  <c r="H18" i="9" s="1"/>
  <c r="H35" i="6"/>
  <c r="E19" i="13"/>
  <c r="E37" i="10"/>
  <c r="E29" i="9"/>
  <c r="C37" i="17"/>
  <c r="E31" i="9"/>
  <c r="E8" i="15"/>
  <c r="C13" i="1"/>
  <c r="E8" i="16"/>
  <c r="C11" i="1"/>
  <c r="E56" i="12"/>
  <c r="E33" i="12"/>
  <c r="G8" i="11"/>
  <c r="G53" i="12"/>
  <c r="G55" i="12" s="1"/>
  <c r="G54" i="12"/>
  <c r="I14" i="12"/>
  <c r="I24" i="9"/>
  <c r="G8" i="7"/>
  <c r="G12" i="7" s="1"/>
  <c r="F32" i="5"/>
  <c r="C10" i="19"/>
  <c r="F39" i="6"/>
  <c r="F9" i="7"/>
  <c r="F9" i="10"/>
  <c r="I30" i="9"/>
  <c r="I25" i="5"/>
  <c r="I16" i="12"/>
  <c r="I30" i="12"/>
  <c r="H27" i="9"/>
  <c r="E49" i="6"/>
  <c r="E40" i="6"/>
  <c r="F20" i="9"/>
  <c r="F28" i="9"/>
  <c r="D10" i="1"/>
  <c r="H9" i="10"/>
  <c r="D9" i="1"/>
  <c r="F35" i="16"/>
  <c r="D8" i="1"/>
  <c r="I9" i="9"/>
  <c r="I22" i="12"/>
  <c r="G51" i="6" l="1"/>
  <c r="G52" i="6" s="1"/>
  <c r="G41" i="6"/>
  <c r="I9" i="7"/>
  <c r="I39" i="6"/>
  <c r="C41" i="1"/>
  <c r="F14" i="7"/>
  <c r="F13" i="7"/>
  <c r="G35" i="16"/>
  <c r="E8" i="1"/>
  <c r="F42" i="10"/>
  <c r="D46" i="1" s="1"/>
  <c r="F51" i="10"/>
  <c r="F9" i="1"/>
  <c r="I12" i="12"/>
  <c r="I15" i="12"/>
  <c r="H39" i="12"/>
  <c r="H25" i="12"/>
  <c r="E32" i="8"/>
  <c r="E29" i="8"/>
  <c r="I32" i="18"/>
  <c r="I11" i="9"/>
  <c r="G30" i="17"/>
  <c r="I33" i="16"/>
  <c r="G7" i="1"/>
  <c r="I19" i="9"/>
  <c r="E9" i="16"/>
  <c r="C14" i="1"/>
  <c r="E15" i="11"/>
  <c r="E12" i="10"/>
  <c r="E43" i="10" s="1"/>
  <c r="C47" i="1" s="1"/>
  <c r="F8" i="11"/>
  <c r="F53" i="12"/>
  <c r="F55" i="12" s="1"/>
  <c r="F54" i="12"/>
  <c r="G9" i="11"/>
  <c r="G10" i="10"/>
  <c r="I53" i="10"/>
  <c r="G12" i="1"/>
  <c r="G9" i="1"/>
  <c r="F33" i="18"/>
  <c r="F34" i="18" s="1"/>
  <c r="F49" i="6"/>
  <c r="F40" i="6"/>
  <c r="G33" i="18"/>
  <c r="G34" i="18" s="1"/>
  <c r="G49" i="6"/>
  <c r="G13" i="7"/>
  <c r="G15" i="7" s="1"/>
  <c r="G14" i="7"/>
  <c r="I9" i="10"/>
  <c r="F47" i="12"/>
  <c r="G26" i="12"/>
  <c r="G29" i="12"/>
  <c r="D28" i="15"/>
  <c r="E39" i="15" s="1"/>
  <c r="D26" i="15"/>
  <c r="I39" i="12"/>
  <c r="I42" i="12" s="1"/>
  <c r="I47" i="12" s="1"/>
  <c r="I25" i="12"/>
  <c r="F8" i="15"/>
  <c r="F37" i="10"/>
  <c r="F31" i="9"/>
  <c r="F19" i="13"/>
  <c r="D37" i="17"/>
  <c r="F36" i="16"/>
  <c r="F29" i="9"/>
  <c r="D13" i="1"/>
  <c r="G42" i="12"/>
  <c r="G47" i="12" s="1"/>
  <c r="E51" i="6"/>
  <c r="E52" i="6" s="1"/>
  <c r="E41" i="6"/>
  <c r="F33" i="12"/>
  <c r="F56" i="12"/>
  <c r="G28" i="9"/>
  <c r="E10" i="1"/>
  <c r="G20" i="9"/>
  <c r="F12" i="1"/>
  <c r="H53" i="10"/>
  <c r="E11" i="10"/>
  <c r="E10" i="11"/>
  <c r="E15" i="7"/>
  <c r="I9" i="11"/>
  <c r="G33" i="16"/>
  <c r="H39" i="6"/>
  <c r="H9" i="7"/>
  <c r="H40" i="6"/>
  <c r="H8" i="7"/>
  <c r="H12" i="7" s="1"/>
  <c r="F30" i="17"/>
  <c r="H19" i="9"/>
  <c r="H32" i="18"/>
  <c r="H33" i="16"/>
  <c r="F7" i="1"/>
  <c r="H11" i="9"/>
  <c r="F48" i="12"/>
  <c r="F8" i="16"/>
  <c r="D11" i="1"/>
  <c r="E10" i="16"/>
  <c r="E20" i="13"/>
  <c r="H19" i="12"/>
  <c r="H55" i="12"/>
  <c r="G17" i="7" l="1"/>
  <c r="E36" i="1" s="1"/>
  <c r="E35" i="1"/>
  <c r="G16" i="7"/>
  <c r="F20" i="13"/>
  <c r="F10" i="16"/>
  <c r="H9" i="11"/>
  <c r="H15" i="7"/>
  <c r="H10" i="10"/>
  <c r="D41" i="1"/>
  <c r="H41" i="6"/>
  <c r="H51" i="6"/>
  <c r="H52" i="6" s="1"/>
  <c r="G48" i="12"/>
  <c r="H35" i="16"/>
  <c r="F8" i="1"/>
  <c r="G42" i="10"/>
  <c r="E46" i="1" s="1"/>
  <c r="G51" i="10"/>
  <c r="H26" i="12"/>
  <c r="H29" i="12"/>
  <c r="I28" i="9"/>
  <c r="I20" i="9"/>
  <c r="G10" i="1"/>
  <c r="H42" i="12"/>
  <c r="H14" i="7"/>
  <c r="H13" i="7"/>
  <c r="H33" i="18"/>
  <c r="H34" i="18" s="1"/>
  <c r="H49" i="6"/>
  <c r="G15" i="11"/>
  <c r="G12" i="10"/>
  <c r="G43" i="10" s="1"/>
  <c r="E47" i="1" s="1"/>
  <c r="F10" i="11"/>
  <c r="F11" i="10"/>
  <c r="F15" i="7"/>
  <c r="G19" i="13"/>
  <c r="E37" i="17"/>
  <c r="G8" i="15"/>
  <c r="G36" i="16"/>
  <c r="G37" i="10"/>
  <c r="G31" i="9"/>
  <c r="G29" i="9"/>
  <c r="E13" i="1"/>
  <c r="G11" i="10"/>
  <c r="G10" i="11"/>
  <c r="F39" i="15"/>
  <c r="D49" i="15"/>
  <c r="J33" i="1"/>
  <c r="G8" i="16"/>
  <c r="E11" i="1"/>
  <c r="I48" i="12"/>
  <c r="E23" i="15"/>
  <c r="F26" i="8"/>
  <c r="E16" i="11"/>
  <c r="F12" i="10"/>
  <c r="F43" i="10" s="1"/>
  <c r="D47" i="1" s="1"/>
  <c r="F15" i="11"/>
  <c r="I55" i="12"/>
  <c r="I19" i="12"/>
  <c r="H28" i="9"/>
  <c r="H20" i="9"/>
  <c r="F10" i="1"/>
  <c r="F51" i="6"/>
  <c r="F52" i="6" s="1"/>
  <c r="F41" i="6"/>
  <c r="E17" i="11"/>
  <c r="I26" i="12"/>
  <c r="I29" i="12"/>
  <c r="E17" i="12"/>
  <c r="E18" i="12" s="1"/>
  <c r="E12" i="15"/>
  <c r="E33" i="8"/>
  <c r="E32" i="9"/>
  <c r="E31" i="12"/>
  <c r="E32" i="12" s="1"/>
  <c r="I10" i="10"/>
  <c r="F9" i="16"/>
  <c r="D14" i="1"/>
  <c r="I49" i="6"/>
  <c r="I33" i="18"/>
  <c r="I34" i="18" s="1"/>
  <c r="I40" i="6"/>
  <c r="E17" i="7"/>
  <c r="C36" i="1" s="1"/>
  <c r="E16" i="7"/>
  <c r="C35" i="1"/>
  <c r="D12" i="8"/>
  <c r="I14" i="7"/>
  <c r="I13" i="7"/>
  <c r="G56" i="12"/>
  <c r="G33" i="12"/>
  <c r="E41" i="10"/>
  <c r="E52" i="10"/>
  <c r="E54" i="10" s="1"/>
  <c r="F33" i="16"/>
  <c r="I35" i="16"/>
  <c r="G8" i="1"/>
  <c r="I8" i="16" l="1"/>
  <c r="G11" i="1"/>
  <c r="I10" i="11"/>
  <c r="I11" i="10"/>
  <c r="I15" i="7"/>
  <c r="H16" i="7"/>
  <c r="F35" i="1"/>
  <c r="H17" i="7"/>
  <c r="F36" i="1" s="1"/>
  <c r="J8" i="1"/>
  <c r="D13" i="8"/>
  <c r="E10" i="15"/>
  <c r="E22" i="13"/>
  <c r="E23" i="13" s="1"/>
  <c r="E28" i="15"/>
  <c r="E26" i="15"/>
  <c r="E25" i="15"/>
  <c r="E23" i="16" s="1"/>
  <c r="E41" i="1"/>
  <c r="H10" i="11"/>
  <c r="H11" i="10"/>
  <c r="E17" i="15"/>
  <c r="E16" i="15"/>
  <c r="E28" i="16" s="1"/>
  <c r="E14" i="15"/>
  <c r="H8" i="16"/>
  <c r="F11" i="1"/>
  <c r="H15" i="11"/>
  <c r="H12" i="10"/>
  <c r="H43" i="10" s="1"/>
  <c r="F47" i="1" s="1"/>
  <c r="G41" i="10"/>
  <c r="G52" i="10"/>
  <c r="G54" i="10" s="1"/>
  <c r="I15" i="11"/>
  <c r="I12" i="10"/>
  <c r="I43" i="10" s="1"/>
  <c r="G47" i="1" s="1"/>
  <c r="E40" i="12"/>
  <c r="E41" i="12"/>
  <c r="E55" i="10"/>
  <c r="E38" i="10"/>
  <c r="C15" i="1"/>
  <c r="E33" i="9"/>
  <c r="G10" i="16"/>
  <c r="G20" i="13"/>
  <c r="G23" i="13" s="1"/>
  <c r="H42" i="10"/>
  <c r="F46" i="1" s="1"/>
  <c r="H51" i="10"/>
  <c r="I42" i="10"/>
  <c r="G46" i="1" s="1"/>
  <c r="I51" i="10"/>
  <c r="H33" i="12"/>
  <c r="H56" i="12"/>
  <c r="G9" i="16"/>
  <c r="E14" i="1"/>
  <c r="F29" i="8"/>
  <c r="F32" i="8"/>
  <c r="I51" i="6"/>
  <c r="I52" i="6" s="1"/>
  <c r="I41" i="6"/>
  <c r="E38" i="12"/>
  <c r="E37" i="12"/>
  <c r="H37" i="10"/>
  <c r="F37" i="17"/>
  <c r="H19" i="13"/>
  <c r="H8" i="15"/>
  <c r="H31" i="9"/>
  <c r="H36" i="16"/>
  <c r="H29" i="9"/>
  <c r="F13" i="1"/>
  <c r="I33" i="12"/>
  <c r="I56" i="12"/>
  <c r="H47" i="12"/>
  <c r="C12" i="19"/>
  <c r="G22" i="13"/>
  <c r="G10" i="15"/>
  <c r="E40" i="10"/>
  <c r="C45" i="1"/>
  <c r="H48" i="12"/>
  <c r="F41" i="10"/>
  <c r="F52" i="10"/>
  <c r="F54" i="10" s="1"/>
  <c r="G37" i="17"/>
  <c r="I19" i="13"/>
  <c r="I8" i="15"/>
  <c r="I37" i="10"/>
  <c r="I31" i="9"/>
  <c r="I36" i="16"/>
  <c r="I29" i="9"/>
  <c r="G13" i="1"/>
  <c r="D35" i="1"/>
  <c r="F17" i="7"/>
  <c r="D36" i="1" s="1"/>
  <c r="F16" i="7"/>
  <c r="G34" i="13" l="1"/>
  <c r="I17" i="7"/>
  <c r="G36" i="1" s="1"/>
  <c r="I16" i="7"/>
  <c r="I32" i="13"/>
  <c r="I33" i="13" s="1"/>
  <c r="G35" i="1"/>
  <c r="I10" i="16"/>
  <c r="I20" i="13"/>
  <c r="G41" i="1"/>
  <c r="G40" i="10"/>
  <c r="E45" i="1"/>
  <c r="I54" i="10"/>
  <c r="C42" i="1"/>
  <c r="D17" i="8"/>
  <c r="J9" i="1"/>
  <c r="H10" i="16"/>
  <c r="H20" i="13"/>
  <c r="H41" i="10"/>
  <c r="H52" i="10"/>
  <c r="H54" i="10" s="1"/>
  <c r="H10" i="15"/>
  <c r="H22" i="13"/>
  <c r="H23" i="13" s="1"/>
  <c r="F41" i="1"/>
  <c r="E43" i="12"/>
  <c r="I41" i="10"/>
  <c r="I52" i="10"/>
  <c r="E34" i="13"/>
  <c r="E24" i="13"/>
  <c r="F23" i="15"/>
  <c r="F16" i="11"/>
  <c r="F17" i="11" s="1"/>
  <c r="G26" i="8"/>
  <c r="F10" i="15"/>
  <c r="F22" i="13"/>
  <c r="F23" i="13" s="1"/>
  <c r="D45" i="1"/>
  <c r="F40" i="10"/>
  <c r="E44" i="12"/>
  <c r="E41" i="9"/>
  <c r="E40" i="9"/>
  <c r="G14" i="1"/>
  <c r="I9" i="16"/>
  <c r="H9" i="16"/>
  <c r="F14" i="1"/>
  <c r="F17" i="12"/>
  <c r="F18" i="12" s="1"/>
  <c r="F12" i="15"/>
  <c r="F33" i="8"/>
  <c r="F39" i="18" s="1"/>
  <c r="F40" i="18" s="1"/>
  <c r="F32" i="9"/>
  <c r="F31" i="12"/>
  <c r="F32" i="12" s="1"/>
  <c r="F36" i="18"/>
  <c r="F37" i="18" s="1"/>
  <c r="F38" i="18" s="1"/>
  <c r="H34" i="13" l="1"/>
  <c r="G32" i="8"/>
  <c r="G29" i="8"/>
  <c r="F26" i="15"/>
  <c r="F28" i="15"/>
  <c r="F25" i="15"/>
  <c r="F23" i="16" s="1"/>
  <c r="F37" i="12"/>
  <c r="F38" i="12"/>
  <c r="F17" i="15"/>
  <c r="F16" i="15"/>
  <c r="F14" i="15"/>
  <c r="F38" i="10"/>
  <c r="F55" i="10"/>
  <c r="D15" i="1"/>
  <c r="F33" i="9"/>
  <c r="F24" i="13"/>
  <c r="G24" i="13" s="1"/>
  <c r="H24" i="13" s="1"/>
  <c r="E49" i="12"/>
  <c r="F34" i="13"/>
  <c r="H40" i="10"/>
  <c r="F45" i="1"/>
  <c r="I22" i="13"/>
  <c r="I23" i="13" s="1"/>
  <c r="I10" i="15"/>
  <c r="E50" i="12"/>
  <c r="I40" i="10"/>
  <c r="G45" i="1"/>
  <c r="E42" i="9"/>
  <c r="E43" i="9"/>
  <c r="E34" i="9" s="1"/>
  <c r="F40" i="12"/>
  <c r="F41" i="12"/>
  <c r="D20" i="8"/>
  <c r="D13" i="13"/>
  <c r="J11" i="1"/>
  <c r="D22" i="10"/>
  <c r="D18" i="8"/>
  <c r="I34" i="13" l="1"/>
  <c r="D40" i="13"/>
  <c r="D39" i="13"/>
  <c r="D45" i="13"/>
  <c r="D15" i="13"/>
  <c r="D14" i="13"/>
  <c r="D16" i="13" s="1"/>
  <c r="F50" i="12"/>
  <c r="D42" i="1"/>
  <c r="G12" i="15"/>
  <c r="G32" i="9"/>
  <c r="G33" i="8"/>
  <c r="G39" i="18" s="1"/>
  <c r="G40" i="18" s="1"/>
  <c r="G17" i="12"/>
  <c r="G18" i="12" s="1"/>
  <c r="G31" i="12"/>
  <c r="G32" i="12" s="1"/>
  <c r="G36" i="18"/>
  <c r="G37" i="18" s="1"/>
  <c r="G38" i="18" s="1"/>
  <c r="F28" i="16"/>
  <c r="F19" i="15"/>
  <c r="F39" i="9"/>
  <c r="F41" i="9"/>
  <c r="G16" i="11"/>
  <c r="G17" i="11" s="1"/>
  <c r="H26" i="8"/>
  <c r="G23" i="15"/>
  <c r="F44" i="12"/>
  <c r="F49" i="12"/>
  <c r="C6" i="19"/>
  <c r="D19" i="8"/>
  <c r="F43" i="12"/>
  <c r="E40" i="15"/>
  <c r="J12" i="1"/>
  <c r="E9" i="15"/>
  <c r="E11" i="15" s="1"/>
  <c r="E56" i="10"/>
  <c r="E57" i="10" s="1"/>
  <c r="E59" i="10" s="1"/>
  <c r="E39" i="10"/>
  <c r="E35" i="9"/>
  <c r="D33" i="10"/>
  <c r="D8" i="14"/>
  <c r="D10" i="14" s="1"/>
  <c r="D24" i="10"/>
  <c r="D28" i="10" s="1"/>
  <c r="D30" i="10" s="1"/>
  <c r="I24" i="13"/>
  <c r="D42" i="13" s="1"/>
  <c r="F9" i="17" l="1"/>
  <c r="J18" i="1"/>
  <c r="F8" i="17"/>
  <c r="J17" i="1"/>
  <c r="G55" i="10"/>
  <c r="G38" i="10"/>
  <c r="E15" i="1"/>
  <c r="G33" i="9"/>
  <c r="D25" i="14"/>
  <c r="D11" i="14"/>
  <c r="D11" i="11"/>
  <c r="E29" i="10"/>
  <c r="E14" i="14"/>
  <c r="E16" i="14" s="1"/>
  <c r="C44" i="17"/>
  <c r="E8" i="10"/>
  <c r="E36" i="9"/>
  <c r="C16" i="1"/>
  <c r="H32" i="8"/>
  <c r="H29" i="8"/>
  <c r="G40" i="12"/>
  <c r="G41" i="12"/>
  <c r="C43" i="1"/>
  <c r="C49" i="1" s="1"/>
  <c r="E45" i="10"/>
  <c r="G38" i="12"/>
  <c r="G37" i="12"/>
  <c r="G43" i="12" s="1"/>
  <c r="E15" i="15"/>
  <c r="E29" i="16" s="1"/>
  <c r="G17" i="15"/>
  <c r="G16" i="15"/>
  <c r="G14" i="15"/>
  <c r="D48" i="15"/>
  <c r="F40" i="15"/>
  <c r="D49" i="2"/>
  <c r="J15" i="1"/>
  <c r="D20" i="11"/>
  <c r="D22" i="11" s="1"/>
  <c r="G26" i="15"/>
  <c r="G28" i="15"/>
  <c r="G25" i="15"/>
  <c r="G23" i="16" s="1"/>
  <c r="F40" i="9"/>
  <c r="F43" i="9" s="1"/>
  <c r="F34" i="9" s="1"/>
  <c r="G44" i="12" l="1"/>
  <c r="G49" i="12" s="1"/>
  <c r="E42" i="1"/>
  <c r="E13" i="10"/>
  <c r="D38" i="13"/>
  <c r="I25" i="13"/>
  <c r="I26" i="13" s="1"/>
  <c r="G25" i="13"/>
  <c r="G26" i="13" s="1"/>
  <c r="F25" i="13"/>
  <c r="F26" i="13" s="1"/>
  <c r="E25" i="13"/>
  <c r="E26" i="13" s="1"/>
  <c r="D25" i="13"/>
  <c r="D26" i="13" s="1"/>
  <c r="D37" i="13"/>
  <c r="H25" i="13"/>
  <c r="H26" i="13" s="1"/>
  <c r="D44" i="13"/>
  <c r="H17" i="12"/>
  <c r="H18" i="12" s="1"/>
  <c r="H12" i="15"/>
  <c r="H32" i="9"/>
  <c r="H33" i="8"/>
  <c r="H39" i="18" s="1"/>
  <c r="H40" i="18" s="1"/>
  <c r="H31" i="12"/>
  <c r="H32" i="12" s="1"/>
  <c r="H36" i="18"/>
  <c r="H37" i="18" s="1"/>
  <c r="H38" i="18" s="1"/>
  <c r="G28" i="16"/>
  <c r="G19" i="15"/>
  <c r="D26" i="14"/>
  <c r="D21" i="14"/>
  <c r="D24" i="15"/>
  <c r="D24" i="16"/>
  <c r="D23" i="11"/>
  <c r="G50" i="12"/>
  <c r="D12" i="11"/>
  <c r="D25" i="11" s="1"/>
  <c r="I26" i="8"/>
  <c r="H23" i="15"/>
  <c r="H16" i="11"/>
  <c r="H17" i="11" s="1"/>
  <c r="G41" i="9"/>
  <c r="E11" i="16"/>
  <c r="C17" i="1"/>
  <c r="F9" i="15"/>
  <c r="F11" i="15" s="1"/>
  <c r="F39" i="10"/>
  <c r="F56" i="10"/>
  <c r="F57" i="10" s="1"/>
  <c r="F59" i="10" s="1"/>
  <c r="F35" i="9"/>
  <c r="F42" i="9"/>
  <c r="E60" i="10"/>
  <c r="D47" i="13" l="1"/>
  <c r="F6" i="17"/>
  <c r="J21" i="1"/>
  <c r="D22" i="16"/>
  <c r="E38" i="15"/>
  <c r="F38" i="15" s="1"/>
  <c r="H38" i="12"/>
  <c r="H37" i="12"/>
  <c r="H43" i="12" s="1"/>
  <c r="E46" i="10"/>
  <c r="E47" i="10" s="1"/>
  <c r="E24" i="14"/>
  <c r="C27" i="1"/>
  <c r="E25" i="10"/>
  <c r="D25" i="16"/>
  <c r="D46" i="13"/>
  <c r="I36" i="1" s="1"/>
  <c r="F7" i="17"/>
  <c r="J16" i="1"/>
  <c r="H38" i="10"/>
  <c r="H55" i="10"/>
  <c r="F15" i="1"/>
  <c r="H33" i="9"/>
  <c r="H17" i="15"/>
  <c r="H16" i="15"/>
  <c r="H14" i="15"/>
  <c r="D43" i="1"/>
  <c r="D49" i="1" s="1"/>
  <c r="F45" i="10"/>
  <c r="H41" i="12"/>
  <c r="H40" i="12"/>
  <c r="F15" i="15"/>
  <c r="D41" i="13"/>
  <c r="J20" i="1" s="1"/>
  <c r="D27" i="13"/>
  <c r="H28" i="15"/>
  <c r="H26" i="15"/>
  <c r="H25" i="15"/>
  <c r="H23" i="16" s="1"/>
  <c r="G39" i="9"/>
  <c r="F36" i="9"/>
  <c r="F14" i="14"/>
  <c r="D44" i="17"/>
  <c r="D16" i="1"/>
  <c r="F8" i="10"/>
  <c r="F13" i="10" s="1"/>
  <c r="I32" i="8"/>
  <c r="I29" i="8"/>
  <c r="H28" i="16" l="1"/>
  <c r="H19" i="15"/>
  <c r="H41" i="9"/>
  <c r="C7" i="19"/>
  <c r="I23" i="15"/>
  <c r="I16" i="11"/>
  <c r="I17" i="11" s="1"/>
  <c r="H44" i="12"/>
  <c r="H50" i="12" s="1"/>
  <c r="B61" i="12" s="1"/>
  <c r="C20" i="1"/>
  <c r="B59" i="12"/>
  <c r="F42" i="1"/>
  <c r="G40" i="9"/>
  <c r="G43" i="9" s="1"/>
  <c r="G34" i="9" s="1"/>
  <c r="F29" i="16"/>
  <c r="F18" i="15"/>
  <c r="F11" i="16"/>
  <c r="D17" i="1"/>
  <c r="I17" i="12"/>
  <c r="I18" i="12" s="1"/>
  <c r="I33" i="8"/>
  <c r="I39" i="18" s="1"/>
  <c r="I40" i="18" s="1"/>
  <c r="I32" i="9"/>
  <c r="I12" i="15"/>
  <c r="I31" i="12"/>
  <c r="I32" i="12" s="1"/>
  <c r="I36" i="18"/>
  <c r="I37" i="18" s="1"/>
  <c r="I38" i="18" s="1"/>
  <c r="D43" i="13"/>
  <c r="J19" i="1" s="1"/>
  <c r="E27" i="13"/>
  <c r="F27" i="13" s="1"/>
  <c r="G27" i="13" s="1"/>
  <c r="H27" i="13" s="1"/>
  <c r="I27" i="13" s="1"/>
  <c r="F46" i="10"/>
  <c r="F47" i="10" s="1"/>
  <c r="F24" i="14"/>
  <c r="D27" i="1"/>
  <c r="C21" i="1"/>
  <c r="E22" i="10"/>
  <c r="E23" i="10" s="1"/>
  <c r="F60" i="10"/>
  <c r="E15" i="14" l="1"/>
  <c r="E34" i="10"/>
  <c r="I28" i="15"/>
  <c r="I26" i="15"/>
  <c r="E42" i="15"/>
  <c r="F42" i="15" s="1"/>
  <c r="I25" i="15"/>
  <c r="I23" i="16" s="1"/>
  <c r="G39" i="10"/>
  <c r="G56" i="10"/>
  <c r="G57" i="10" s="1"/>
  <c r="G59" i="10" s="1"/>
  <c r="G9" i="15"/>
  <c r="G11" i="15" s="1"/>
  <c r="G15" i="15" s="1"/>
  <c r="G35" i="9"/>
  <c r="I40" i="12"/>
  <c r="I41" i="12"/>
  <c r="G42" i="9"/>
  <c r="I17" i="15"/>
  <c r="I14" i="15"/>
  <c r="I16" i="15"/>
  <c r="I38" i="10"/>
  <c r="I55" i="10"/>
  <c r="G15" i="1"/>
  <c r="I33" i="9"/>
  <c r="H49" i="12"/>
  <c r="B60" i="12" s="1"/>
  <c r="E9" i="14"/>
  <c r="E10" i="14" s="1"/>
  <c r="E11" i="14" s="1"/>
  <c r="E24" i="10"/>
  <c r="E33" i="10"/>
  <c r="I37" i="12"/>
  <c r="I43" i="12" s="1"/>
  <c r="I38" i="12"/>
  <c r="I28" i="16" l="1"/>
  <c r="I19" i="15"/>
  <c r="E37" i="15" s="1"/>
  <c r="E43" i="1"/>
  <c r="E49" i="1" s="1"/>
  <c r="G45" i="10"/>
  <c r="E20" i="11"/>
  <c r="C29" i="1"/>
  <c r="E28" i="10"/>
  <c r="H39" i="9"/>
  <c r="I50" i="12"/>
  <c r="G14" i="14"/>
  <c r="E44" i="17"/>
  <c r="G8" i="10"/>
  <c r="G13" i="10" s="1"/>
  <c r="G36" i="9"/>
  <c r="E16" i="1"/>
  <c r="E21" i="11"/>
  <c r="E20" i="14" s="1"/>
  <c r="I44" i="12"/>
  <c r="C11" i="19" s="1"/>
  <c r="I49" i="12"/>
  <c r="I41" i="9"/>
  <c r="G29" i="16"/>
  <c r="G18" i="15"/>
  <c r="E25" i="14"/>
  <c r="E19" i="14"/>
  <c r="E17" i="14"/>
  <c r="G42" i="1"/>
  <c r="E18" i="14" l="1"/>
  <c r="H40" i="9"/>
  <c r="H43" i="9" s="1"/>
  <c r="H34" i="9" s="1"/>
  <c r="E26" i="14"/>
  <c r="E22" i="11"/>
  <c r="G11" i="16"/>
  <c r="E17" i="1"/>
  <c r="G46" i="10"/>
  <c r="E27" i="1"/>
  <c r="G24" i="14"/>
  <c r="E30" i="10"/>
  <c r="C30" i="1"/>
  <c r="G47" i="10"/>
  <c r="F37" i="15"/>
  <c r="F12" i="17"/>
  <c r="J32" i="1"/>
  <c r="G60" i="10"/>
  <c r="E21" i="14" l="1"/>
  <c r="E13" i="16"/>
  <c r="E23" i="11"/>
  <c r="E24" i="15"/>
  <c r="E22" i="16" s="1"/>
  <c r="E24" i="16"/>
  <c r="E12" i="16"/>
  <c r="C18" i="1" s="1"/>
  <c r="H39" i="10"/>
  <c r="H9" i="15"/>
  <c r="H11" i="15" s="1"/>
  <c r="H15" i="15" s="1"/>
  <c r="H56" i="10"/>
  <c r="H57" i="10" s="1"/>
  <c r="H59" i="10" s="1"/>
  <c r="H35" i="9"/>
  <c r="F29" i="10"/>
  <c r="E11" i="11"/>
  <c r="C31" i="1"/>
  <c r="F25" i="10"/>
  <c r="H42" i="9"/>
  <c r="H29" i="16" l="1"/>
  <c r="H18" i="15"/>
  <c r="I39" i="9"/>
  <c r="F44" i="17"/>
  <c r="H8" i="10"/>
  <c r="H13" i="10" s="1"/>
  <c r="H14" i="14"/>
  <c r="H36" i="9"/>
  <c r="F16" i="1"/>
  <c r="F22" i="10"/>
  <c r="F43" i="1"/>
  <c r="F49" i="1" s="1"/>
  <c r="H45" i="10"/>
  <c r="H60" i="10" s="1"/>
  <c r="E19" i="16"/>
  <c r="E18" i="16"/>
  <c r="E29" i="15"/>
  <c r="E17" i="16" s="1"/>
  <c r="E12" i="11"/>
  <c r="F9" i="14" l="1"/>
  <c r="F10" i="14" s="1"/>
  <c r="F11" i="14" s="1"/>
  <c r="F33" i="10"/>
  <c r="H11" i="16"/>
  <c r="F17" i="1"/>
  <c r="H46" i="10"/>
  <c r="H47" i="10" s="1"/>
  <c r="F27" i="1"/>
  <c r="H24" i="14"/>
  <c r="E25" i="11"/>
  <c r="E32" i="16"/>
  <c r="E14" i="16"/>
  <c r="E25" i="16"/>
  <c r="I40" i="9"/>
  <c r="I43" i="9" s="1"/>
  <c r="I34" i="9" s="1"/>
  <c r="F23" i="10"/>
  <c r="F15" i="14" l="1"/>
  <c r="F34" i="10"/>
  <c r="I56" i="10"/>
  <c r="I57" i="10" s="1"/>
  <c r="I59" i="10" s="1"/>
  <c r="I39" i="10"/>
  <c r="I9" i="15"/>
  <c r="I11" i="15" s="1"/>
  <c r="I35" i="9"/>
  <c r="I42" i="9"/>
  <c r="C9" i="19" s="1"/>
  <c r="F20" i="11"/>
  <c r="F24" i="10"/>
  <c r="D29" i="1" l="1"/>
  <c r="F28" i="10"/>
  <c r="I36" i="9"/>
  <c r="G44" i="17"/>
  <c r="I14" i="14"/>
  <c r="G16" i="1"/>
  <c r="I8" i="10"/>
  <c r="I13" i="10" s="1"/>
  <c r="E31" i="15"/>
  <c r="I15" i="15"/>
  <c r="G43" i="1"/>
  <c r="G49" i="1" s="1"/>
  <c r="I45" i="10"/>
  <c r="I60" i="10"/>
  <c r="C17" i="19" s="1"/>
  <c r="F21" i="11"/>
  <c r="F20" i="14" s="1"/>
  <c r="F22" i="11"/>
  <c r="F19" i="14"/>
  <c r="F25" i="14"/>
  <c r="F16" i="14"/>
  <c r="F17" i="14"/>
  <c r="I29" i="16" l="1"/>
  <c r="I18" i="15"/>
  <c r="F18" i="14"/>
  <c r="I46" i="10"/>
  <c r="I24" i="14"/>
  <c r="G27" i="1"/>
  <c r="F21" i="14"/>
  <c r="F13" i="16"/>
  <c r="F24" i="15"/>
  <c r="F22" i="16" s="1"/>
  <c r="F24" i="16"/>
  <c r="F23" i="11"/>
  <c r="F12" i="16"/>
  <c r="D18" i="1" s="1"/>
  <c r="I11" i="16"/>
  <c r="G17" i="1"/>
  <c r="F26" i="14"/>
  <c r="F30" i="10"/>
  <c r="D30" i="1"/>
  <c r="I47" i="10"/>
  <c r="C16" i="19" s="1"/>
  <c r="G29" i="10" l="1"/>
  <c r="F11" i="11"/>
  <c r="G25" i="10"/>
  <c r="D31" i="1"/>
  <c r="E36" i="15"/>
  <c r="E35" i="15"/>
  <c r="F35" i="15" l="1"/>
  <c r="J30" i="1"/>
  <c r="F10" i="17"/>
  <c r="D47" i="15"/>
  <c r="F11" i="17"/>
  <c r="F36" i="15"/>
  <c r="J31" i="1"/>
  <c r="G22" i="10"/>
  <c r="F19" i="16"/>
  <c r="F18" i="16"/>
  <c r="F12" i="11"/>
  <c r="F29" i="15"/>
  <c r="G9" i="14" l="1"/>
  <c r="G10" i="14" s="1"/>
  <c r="G11" i="14" s="1"/>
  <c r="G33" i="10"/>
  <c r="F25" i="11"/>
  <c r="F32" i="16"/>
  <c r="F14" i="16"/>
  <c r="F25" i="16"/>
  <c r="G23" i="10"/>
  <c r="G24" i="10" s="1"/>
  <c r="F17" i="16"/>
  <c r="F30" i="15"/>
  <c r="E29" i="1" l="1"/>
  <c r="G28" i="10"/>
  <c r="G20" i="11"/>
  <c r="G15" i="14"/>
  <c r="G34" i="10"/>
  <c r="G21" i="11" l="1"/>
  <c r="G20" i="14" s="1"/>
  <c r="G25" i="14"/>
  <c r="G19" i="14"/>
  <c r="G16" i="14"/>
  <c r="G17" i="14"/>
  <c r="G30" i="10"/>
  <c r="E30" i="1"/>
  <c r="G11" i="11" l="1"/>
  <c r="H29" i="10"/>
  <c r="H25" i="10"/>
  <c r="E31" i="1"/>
  <c r="G18" i="14"/>
  <c r="G26" i="14"/>
  <c r="G22" i="11"/>
  <c r="G21" i="14" l="1"/>
  <c r="G13" i="16"/>
  <c r="G24" i="15"/>
  <c r="G22" i="16" s="1"/>
  <c r="G24" i="16"/>
  <c r="G23" i="11"/>
  <c r="G12" i="16"/>
  <c r="E18" i="1" s="1"/>
  <c r="H22" i="10"/>
  <c r="G19" i="16"/>
  <c r="G18" i="16"/>
  <c r="G29" i="15"/>
  <c r="G12" i="11"/>
  <c r="G25" i="16" s="1"/>
  <c r="G17" i="16" l="1"/>
  <c r="G30" i="15"/>
  <c r="H9" i="14"/>
  <c r="H10" i="14" s="1"/>
  <c r="H11" i="14" s="1"/>
  <c r="H33" i="10"/>
  <c r="H23" i="10"/>
  <c r="G25" i="11"/>
  <c r="G32" i="16"/>
  <c r="G14" i="16"/>
  <c r="H15" i="14" l="1"/>
  <c r="H34" i="10"/>
  <c r="H20" i="11"/>
  <c r="H24" i="10"/>
  <c r="F29" i="1" l="1"/>
  <c r="H28" i="10"/>
  <c r="H21" i="11"/>
  <c r="H20" i="14" s="1"/>
  <c r="H22" i="11"/>
  <c r="H25" i="14"/>
  <c r="H19" i="14"/>
  <c r="H16" i="14"/>
  <c r="H17" i="14"/>
  <c r="H18" i="14" l="1"/>
  <c r="H21" i="14"/>
  <c r="H13" i="16"/>
  <c r="H24" i="15"/>
  <c r="H22" i="16" s="1"/>
  <c r="H24" i="16"/>
  <c r="H23" i="11"/>
  <c r="H12" i="16"/>
  <c r="F18" i="1" s="1"/>
  <c r="H26" i="14"/>
  <c r="H30" i="10"/>
  <c r="F30" i="1"/>
  <c r="H11" i="11" l="1"/>
  <c r="I25" i="10"/>
  <c r="F31" i="1"/>
  <c r="I29" i="10"/>
  <c r="I22" i="10" l="1"/>
  <c r="I23" i="10"/>
  <c r="H19" i="16"/>
  <c r="H29" i="15"/>
  <c r="H12" i="11"/>
  <c r="H18" i="16"/>
  <c r="H25" i="11" l="1"/>
  <c r="H32" i="16"/>
  <c r="H14" i="16"/>
  <c r="H25" i="16"/>
  <c r="H17" i="16"/>
  <c r="H30" i="15"/>
  <c r="I15" i="14"/>
  <c r="C19" i="19"/>
  <c r="I34" i="10"/>
  <c r="I21" i="11" s="1"/>
  <c r="I9" i="14"/>
  <c r="I10" i="14" s="1"/>
  <c r="I11" i="14" s="1"/>
  <c r="D29" i="14" s="1"/>
  <c r="I24" i="10"/>
  <c r="C24" i="19"/>
  <c r="I33" i="10"/>
  <c r="I20" i="11" s="1"/>
  <c r="G29" i="1" l="1"/>
  <c r="I28" i="10"/>
  <c r="F14" i="17"/>
  <c r="J24" i="1"/>
  <c r="C8" i="19"/>
  <c r="I20" i="14"/>
  <c r="I19" i="14"/>
  <c r="I25" i="14"/>
  <c r="I16" i="14"/>
  <c r="I17" i="14"/>
  <c r="I22" i="11"/>
  <c r="I21" i="14" l="1"/>
  <c r="D32" i="14" s="1"/>
  <c r="I13" i="16"/>
  <c r="I24" i="15"/>
  <c r="I22" i="16" s="1"/>
  <c r="I24" i="16"/>
  <c r="I23" i="11"/>
  <c r="I12" i="16"/>
  <c r="G18" i="1" s="1"/>
  <c r="I26" i="14"/>
  <c r="D35" i="14" s="1"/>
  <c r="J27" i="1" s="1"/>
  <c r="D34" i="14"/>
  <c r="D30" i="14"/>
  <c r="I18" i="14"/>
  <c r="I30" i="10"/>
  <c r="G30" i="1"/>
  <c r="D33" i="14" l="1"/>
  <c r="D31" i="14"/>
  <c r="J26" i="1" s="1"/>
  <c r="J25" i="1"/>
  <c r="F15" i="17"/>
  <c r="B37" i="14"/>
  <c r="I11" i="11"/>
  <c r="G31" i="1"/>
  <c r="I19" i="16" l="1"/>
  <c r="I18" i="16"/>
  <c r="I29" i="15"/>
  <c r="I12" i="11"/>
  <c r="F16" i="17"/>
  <c r="I25" i="11" l="1"/>
  <c r="C5" i="19" s="1"/>
  <c r="C21" i="19" s="1"/>
  <c r="I32" i="16"/>
  <c r="I14" i="16"/>
  <c r="I25" i="16"/>
  <c r="I17" i="16"/>
  <c r="I30" i="15"/>
  <c r="E41" i="15" s="1"/>
  <c r="F41" i="15" s="1"/>
  <c r="D43" i="15" s="1"/>
  <c r="C25" i="19" l="1"/>
  <c r="B44" i="15"/>
  <c r="I38" i="1" s="1"/>
  <c r="F13" i="17"/>
  <c r="J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200-000001000000}">
      <text>
        <r>
          <rPr>
            <sz val="10"/>
            <rFont val="Arial"/>
            <family val="2"/>
          </rPr>
          <t>3.5 months</t>
        </r>
      </text>
    </comment>
    <comment ref="E10" authorId="0" shapeId="0" xr:uid="{00000000-0006-0000-0200-000008000000}">
      <text>
        <r>
          <rPr>
            <sz val="10"/>
            <rFont val="Arial"/>
            <family val="2"/>
          </rPr>
          <t>3.5 months</t>
        </r>
      </text>
    </comment>
    <comment ref="E11" authorId="0" shapeId="0" xr:uid="{00000000-0006-0000-0200-000009000000}">
      <text>
        <r>
          <rPr>
            <sz val="10"/>
            <rFont val="Arial"/>
            <family val="2"/>
          </rPr>
          <t>6 months due to winter season</t>
        </r>
      </text>
    </comment>
    <comment ref="E13" authorId="0" shapeId="0" xr:uid="{00000000-0006-0000-0200-00000A000000}">
      <text>
        <r>
          <rPr>
            <sz val="10"/>
            <rFont val="Arial"/>
            <family val="2"/>
          </rPr>
          <t>3.5 months</t>
        </r>
      </text>
    </comment>
    <comment ref="H14" authorId="0" shapeId="0" xr:uid="{00000000-0006-0000-0200-00000F000000}">
      <text>
        <r>
          <rPr>
            <sz val="10"/>
            <rFont val="Arial"/>
            <family val="2"/>
          </rPr>
          <t>3.5 months</t>
        </r>
      </text>
    </comment>
    <comment ref="H15" authorId="0" shapeId="0" xr:uid="{00000000-0006-0000-0200-000010000000}">
      <text>
        <r>
          <rPr>
            <sz val="10"/>
            <rFont val="Arial"/>
            <family val="2"/>
          </rPr>
          <t>6 months due to winter season</t>
        </r>
      </text>
    </comment>
    <comment ref="H17" authorId="0" shapeId="0" xr:uid="{00000000-0006-0000-0200-000011000000}">
      <text>
        <r>
          <rPr>
            <sz val="10"/>
            <rFont val="Arial"/>
            <family val="2"/>
          </rPr>
          <t>3.5 months</t>
        </r>
      </text>
    </comment>
    <comment ref="K18" authorId="0" shapeId="0" xr:uid="{00000000-0006-0000-0200-000016000000}">
      <text>
        <r>
          <rPr>
            <sz val="10"/>
            <rFont val="Arial"/>
            <family val="2"/>
          </rPr>
          <t>3.5 months</t>
        </r>
      </text>
    </comment>
    <comment ref="D27" authorId="0" shapeId="0" xr:uid="{00000000-0006-0000-0200-000005000000}">
      <text>
        <r>
          <rPr>
            <sz val="10"/>
            <rFont val="Arial"/>
            <family val="2"/>
          </rPr>
          <t>per pc = 250 gm within 4 month</t>
        </r>
      </text>
    </comment>
    <comment ref="D28" authorId="0" shapeId="0" xr:uid="{00000000-0006-0000-0200-000006000000}">
      <text>
        <r>
          <rPr>
            <sz val="10"/>
            <rFont val="Arial"/>
            <family val="2"/>
          </rPr>
          <t>per pc = 500 gm within 4 month</t>
        </r>
      </text>
    </comment>
    <comment ref="B49" authorId="0" shapeId="0" xr:uid="{00000000-0006-0000-0200-000002000000}">
      <text>
        <r>
          <rPr>
            <sz val="10"/>
            <rFont val="Arial"/>
            <family val="2"/>
          </rPr>
          <t>1 cycle</t>
        </r>
      </text>
    </comment>
    <comment ref="C49" authorId="0" shapeId="0" xr:uid="{00000000-0006-0000-0200-000003000000}">
      <text>
        <r>
          <rPr>
            <sz val="10"/>
            <rFont val="Arial"/>
            <family val="2"/>
          </rPr>
          <t>Average rate</t>
        </r>
      </text>
    </comment>
    <comment ref="D49" authorId="0" shapeId="0" xr:uid="{00000000-0006-0000-0200-000007000000}">
      <text>
        <r>
          <rPr>
            <sz val="10"/>
            <rFont val="Arial"/>
            <family val="2"/>
          </rPr>
          <t>Tilapia 200,000 pcs @ Tk. 1
Carp 100,000 pcs @ Tk. 4
30% motarlity</t>
        </r>
      </text>
    </comment>
    <comment ref="E49" authorId="0" shapeId="0" xr:uid="{00000000-0006-0000-0200-00000B000000}">
      <text>
        <r>
          <rPr>
            <sz val="10"/>
            <rFont val="Arial"/>
            <family val="2"/>
          </rPr>
          <t>3 cycle</t>
        </r>
      </text>
    </comment>
    <comment ref="F49" authorId="0" shapeId="0" xr:uid="{00000000-0006-0000-0200-00000C000000}">
      <text>
        <r>
          <rPr>
            <sz val="10"/>
            <rFont val="Arial"/>
            <family val="2"/>
          </rPr>
          <t>Average rate</t>
        </r>
      </text>
    </comment>
    <comment ref="G49" authorId="0" shapeId="0" xr:uid="{00000000-0006-0000-0200-00000E000000}">
      <text>
        <r>
          <rPr>
            <sz val="10"/>
            <rFont val="Arial"/>
            <family val="2"/>
          </rPr>
          <t>Tilapia 300,000 pcs @ Tk. 1
Carp 150,000 pcs @ Tk. 4
3 cycle</t>
        </r>
      </text>
    </comment>
    <comment ref="H49" authorId="0" shapeId="0" xr:uid="{00000000-0006-0000-0200-000012000000}">
      <text>
        <r>
          <rPr>
            <sz val="10"/>
            <rFont val="Arial"/>
            <family val="2"/>
          </rPr>
          <t>3 cycle</t>
        </r>
      </text>
    </comment>
    <comment ref="I49" authorId="0" shapeId="0" xr:uid="{00000000-0006-0000-0200-000013000000}">
      <text>
        <r>
          <rPr>
            <sz val="10"/>
            <rFont val="Arial"/>
            <family val="2"/>
          </rPr>
          <t>Average rate</t>
        </r>
      </text>
    </comment>
    <comment ref="J49" authorId="0" shapeId="0" xr:uid="{00000000-0006-0000-0200-000015000000}">
      <text>
        <r>
          <rPr>
            <sz val="10"/>
            <rFont val="Arial"/>
            <family val="2"/>
          </rPr>
          <t>Tilapia 300,000 pcs @ Tk. 1
Carp 150,000 pcs @ Tk. 4
30 % Motarlity</t>
        </r>
      </text>
    </comment>
    <comment ref="K49" authorId="0" shapeId="0" xr:uid="{00000000-0006-0000-0200-000017000000}">
      <text>
        <r>
          <rPr>
            <sz val="10"/>
            <rFont val="Arial"/>
            <family val="2"/>
          </rPr>
          <t>3 cycle</t>
        </r>
      </text>
    </comment>
    <comment ref="L49" authorId="0" shapeId="0" xr:uid="{00000000-0006-0000-0200-000018000000}">
      <text>
        <r>
          <rPr>
            <sz val="10"/>
            <rFont val="Arial"/>
            <family val="2"/>
          </rPr>
          <t>Average rate</t>
        </r>
      </text>
    </comment>
    <comment ref="M49" authorId="0" shapeId="0" xr:uid="{00000000-0006-0000-0200-00001A000000}">
      <text>
        <r>
          <rPr>
            <sz val="10"/>
            <rFont val="Arial"/>
            <family val="2"/>
          </rPr>
          <t>Tilapia 300,000 pcs @ Tk. 1
Carp 150,000 pcs @ Tk. 4
30 % Motarlity</t>
        </r>
      </text>
    </comment>
    <comment ref="C50" authorId="0" shapeId="0" xr:uid="{00000000-0006-0000-0200-000004000000}">
      <text>
        <r>
          <rPr>
            <sz val="10"/>
            <rFont val="Arial"/>
            <family val="2"/>
          </rPr>
          <t>Average rate Tk. 40 per kg assumed.</t>
        </r>
      </text>
    </comment>
    <comment ref="F50" authorId="0" shapeId="0" xr:uid="{00000000-0006-0000-0200-00000D000000}">
      <text>
        <r>
          <rPr>
            <sz val="10"/>
            <rFont val="Arial"/>
            <family val="2"/>
          </rPr>
          <t>Feed rate = previous year x (1 + yearly feed price increase, Assumptions). Year 1 rate is Tk 40 per kg.</t>
        </r>
      </text>
    </comment>
    <comment ref="I50" authorId="0" shapeId="0" xr:uid="{00000000-0006-0000-0200-000014000000}">
      <text>
        <r>
          <rPr>
            <sz val="10"/>
            <rFont val="Arial"/>
            <family val="2"/>
          </rPr>
          <t>Feed rate = previous year x (1 + yearly feed price increase, Assumptions). Year 1 rate is Tk 40 per kg.</t>
        </r>
      </text>
    </comment>
    <comment ref="L50" authorId="0" shapeId="0" xr:uid="{00000000-0006-0000-0200-000019000000}">
      <text>
        <r>
          <rPr>
            <sz val="10"/>
            <rFont val="Arial"/>
            <family val="2"/>
          </rPr>
          <t>Feed rate = previous year x (1 + yearly feed price increase, Assumptions). Year 1 rate is Tk 40 per kg.</t>
        </r>
      </text>
    </comment>
    <comment ref="O50" authorId="0" shapeId="0" xr:uid="{00000000-0006-0000-0200-00001B000000}">
      <text>
        <r>
          <rPr>
            <sz val="10"/>
            <rFont val="Arial"/>
            <family val="2"/>
          </rPr>
          <t>Feed rate = previous year x (1 + yearly feed price increase, Assumptions). Year 1 rate is Tk 40 per kg.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0" authorId="0" shapeId="0" xr:uid="{00000000-0006-0000-0300-000001000000}">
      <text>
        <r>
          <rPr>
            <sz val="10"/>
            <rFont val="Arial"/>
            <family val="2"/>
          </rPr>
          <t>1 month</t>
        </r>
      </text>
    </comment>
    <comment ref="D10" authorId="0" shapeId="0" xr:uid="{00000000-0006-0000-0300-000004000000}">
      <text>
        <r>
          <rPr>
            <sz val="10"/>
            <rFont val="Arial"/>
            <family val="2"/>
          </rPr>
          <t>1 month</t>
        </r>
      </text>
    </comment>
    <comment ref="F10" authorId="0" shapeId="0" xr:uid="{00000000-0006-0000-0300-00000A000000}">
      <text>
        <r>
          <rPr>
            <sz val="10"/>
            <rFont val="Arial"/>
            <family val="2"/>
          </rPr>
          <t>1 month</t>
        </r>
      </text>
    </comment>
    <comment ref="H10" authorId="0" shapeId="0" xr:uid="{00000000-0006-0000-0300-000011000000}">
      <text>
        <r>
          <rPr>
            <sz val="10"/>
            <rFont val="Arial"/>
            <family val="2"/>
          </rPr>
          <t>1 month</t>
        </r>
      </text>
    </comment>
    <comment ref="B11" authorId="0" shapeId="0" xr:uid="{00000000-0006-0000-0300-000002000000}">
      <text>
        <r>
          <rPr>
            <sz val="10"/>
            <rFont val="Arial"/>
            <family val="2"/>
          </rPr>
          <t>3.5 months</t>
        </r>
      </text>
    </comment>
    <comment ref="D11" authorId="0" shapeId="0" xr:uid="{00000000-0006-0000-0300-000005000000}">
      <text>
        <r>
          <rPr>
            <sz val="10"/>
            <rFont val="Arial"/>
            <family val="2"/>
          </rPr>
          <t>3.5 months</t>
        </r>
      </text>
    </comment>
    <comment ref="F11" authorId="0" shapeId="0" xr:uid="{00000000-0006-0000-0300-00000B000000}">
      <text>
        <r>
          <rPr>
            <sz val="10"/>
            <rFont val="Arial"/>
            <family val="2"/>
          </rPr>
          <t>3.5 months</t>
        </r>
      </text>
    </comment>
    <comment ref="H11" authorId="0" shapeId="0" xr:uid="{00000000-0006-0000-0300-000012000000}">
      <text>
        <r>
          <rPr>
            <sz val="10"/>
            <rFont val="Arial"/>
            <family val="2"/>
          </rPr>
          <t>3.5 months</t>
        </r>
      </text>
    </comment>
    <comment ref="B19" authorId="0" shapeId="0" xr:uid="{00000000-0006-0000-0300-000003000000}">
      <text>
        <r>
          <rPr>
            <sz val="10"/>
            <rFont val="Arial"/>
            <family val="2"/>
          </rPr>
          <t>1 month</t>
        </r>
      </text>
    </comment>
    <comment ref="D27" authorId="0" shapeId="0" xr:uid="{00000000-0006-0000-0300-000006000000}">
      <text>
        <r>
          <rPr>
            <sz val="10"/>
            <rFont val="Arial"/>
            <family val="2"/>
          </rPr>
          <t>3 pcs fry will consume 1 gm feed within 1 month</t>
        </r>
      </text>
    </comment>
    <comment ref="D28" authorId="0" shapeId="0" xr:uid="{00000000-0006-0000-0300-000007000000}">
      <text>
        <r>
          <rPr>
            <sz val="10"/>
            <rFont val="Arial"/>
            <family val="2"/>
          </rPr>
          <t>per pc = 250 gm within 1 year</t>
        </r>
      </text>
    </comment>
    <comment ref="E28" authorId="0" shapeId="0" xr:uid="{00000000-0006-0000-0300-000009000000}">
      <text>
        <r>
          <rPr>
            <sz val="10"/>
            <rFont val="Arial"/>
            <family val="2"/>
          </rPr>
          <t>brood = 60,000 pcs
FCR = 1.3
Final weight = 250gm in 1st year</t>
        </r>
      </text>
    </comment>
    <comment ref="D29" authorId="0" shapeId="0" xr:uid="{00000000-0006-0000-0300-000008000000}">
      <text>
        <r>
          <rPr>
            <sz val="10"/>
            <rFont val="Arial"/>
            <family val="2"/>
          </rPr>
          <t>per pc = 2 kg within 1 year</t>
        </r>
      </text>
    </comment>
    <comment ref="F43" authorId="0" shapeId="0" xr:uid="{00000000-0006-0000-0300-00000C000000}">
      <text>
        <r>
          <rPr>
            <sz val="10"/>
            <rFont val="Arial"/>
            <family val="2"/>
          </rPr>
          <t>Feed rate = previous year x (1 + yearly feed price increase, Assumptions).</t>
        </r>
      </text>
    </comment>
    <comment ref="F64" authorId="0" shapeId="0" xr:uid="{00000000-0006-0000-0300-00000D000000}">
      <text>
        <r>
          <rPr>
            <sz val="10"/>
            <rFont val="Arial"/>
            <family val="2"/>
          </rPr>
          <t>1st month = 100 kg / Rate = Tk 3,500</t>
        </r>
      </text>
    </comment>
    <comment ref="G64" authorId="0" shapeId="0" xr:uid="{00000000-0006-0000-0300-00000F000000}">
      <text>
        <r>
          <rPr>
            <sz val="10"/>
            <rFont val="Arial"/>
            <family val="2"/>
          </rPr>
          <t>2nd month = 100 kg / Rate = Tk 3,500</t>
        </r>
      </text>
    </comment>
    <comment ref="AO65" authorId="0" shapeId="0" xr:uid="{00000000-0006-0000-0300-000013000000}">
      <text>
        <r>
          <rPr>
            <sz val="10"/>
            <rFont val="Arial"/>
            <family val="2"/>
          </rPr>
          <t>Quantity after 3 years = 500 gm per piece / Mortality 20%</t>
        </r>
      </text>
    </comment>
    <comment ref="AP66" authorId="0" shapeId="0" xr:uid="{00000000-0006-0000-0300-000015000000}">
      <text>
        <r>
          <rPr>
            <sz val="10"/>
            <rFont val="Arial"/>
            <family val="2"/>
          </rPr>
          <t>Quantity after 3 years = 5,000 pcs x 5 kg = 25,000 kg / Mortality 20%</t>
        </r>
      </text>
    </comment>
    <comment ref="F73" authorId="0" shapeId="0" xr:uid="{00000000-0006-0000-0300-00000E000000}">
      <text>
        <r>
          <rPr>
            <sz val="10"/>
            <rFont val="Arial"/>
            <family val="2"/>
          </rPr>
          <t>1st month = 100 kg / Rate = Tk 3,500</t>
        </r>
      </text>
    </comment>
    <comment ref="G73" authorId="0" shapeId="0" xr:uid="{00000000-0006-0000-0300-000010000000}">
      <text>
        <r>
          <rPr>
            <sz val="10"/>
            <rFont val="Arial"/>
            <family val="2"/>
          </rPr>
          <t>2nd month = 100 kg / Rate = Tk 3,500</t>
        </r>
      </text>
    </comment>
    <comment ref="AO74" authorId="0" shapeId="0" xr:uid="{00000000-0006-0000-0300-000014000000}">
      <text>
        <r>
          <rPr>
            <sz val="10"/>
            <rFont val="Arial"/>
            <family val="2"/>
          </rPr>
          <t>Quantity after 3 years = 500 gm per piece / Rate = Tk 150 / Mortality 20%</t>
        </r>
      </text>
    </comment>
    <comment ref="AP75" authorId="0" shapeId="0" xr:uid="{00000000-0006-0000-0300-000016000000}">
      <text>
        <r>
          <rPr>
            <sz val="10"/>
            <rFont val="Arial"/>
            <family val="2"/>
          </rPr>
          <t>Quantity after 3 years = 5,000 pcs x 5 kg = 25,000 kg / Rate = Tk 300 / Mortality 20%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400-000001000000}">
      <text>
        <r>
          <rPr>
            <sz val="10"/>
            <rFont val="Arial"/>
            <family val="2"/>
          </rPr>
          <t>Assumed that the land will be purchased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6" authorId="0" shapeId="0" xr:uid="{00000000-0006-0000-0500-000004000000}">
      <text>
        <r>
          <rPr>
            <sz val="10"/>
            <rFont val="Arial"/>
            <family val="2"/>
          </rPr>
          <t>400 litres x 6 months at Tk 65</t>
        </r>
      </text>
    </comment>
    <comment ref="J56" authorId="0" shapeId="0" xr:uid="{00000000-0006-0000-0500-000005000000}">
      <text>
        <r>
          <rPr>
            <sz val="10"/>
            <rFont val="Arial"/>
            <family val="2"/>
          </rPr>
          <t>Assuming fuel cost will increase 10% per year</t>
        </r>
      </text>
    </comment>
    <comment ref="B60" authorId="0" shapeId="0" xr:uid="{00000000-0006-0000-0500-000001000000}">
      <text>
        <r>
          <rPr>
            <sz val="10"/>
            <rFont val="Arial"/>
            <family val="2"/>
          </rPr>
          <t>Distribution cost</t>
        </r>
      </text>
    </comment>
    <comment ref="B65" authorId="0" shapeId="0" xr:uid="{00000000-0006-0000-0500-000002000000}">
      <text>
        <r>
          <rPr>
            <sz val="10"/>
            <rFont val="Arial"/>
            <family val="2"/>
          </rPr>
          <t>Assuming office stationery</t>
        </r>
      </text>
    </comment>
    <comment ref="B71" authorId="0" shapeId="0" xr:uid="{00000000-0006-0000-0500-000003000000}">
      <text>
        <r>
          <rPr>
            <sz val="10"/>
            <rFont val="Arial"/>
            <family val="2"/>
          </rPr>
          <t>Police and others</t>
        </r>
      </text>
    </comment>
  </commentList>
</comments>
</file>

<file path=xl/sharedStrings.xml><?xml version="1.0" encoding="utf-8"?>
<sst xmlns="http://schemas.openxmlformats.org/spreadsheetml/2006/main" count="1645" uniqueCount="871">
  <si>
    <t>Fish Farming and Hatchery Project: Dashboard</t>
  </si>
  <si>
    <t>PROFITABILITY</t>
  </si>
  <si>
    <t>INVESTMENT</t>
  </si>
  <si>
    <t>BDT million</t>
  </si>
  <si>
    <t>Project cost and funding (BDT million)</t>
  </si>
  <si>
    <t>Revenue</t>
  </si>
  <si>
    <t>Fixed assets (project cost)</t>
  </si>
  <si>
    <t>Revenue growth</t>
  </si>
  <si>
    <t>Opening cash for Year 1 working capital</t>
  </si>
  <si>
    <t>Cost of goods sold (COGS)</t>
  </si>
  <si>
    <t>Total funds needed</t>
  </si>
  <si>
    <t>Gross profit</t>
  </si>
  <si>
    <t>Bank term loan</t>
  </si>
  <si>
    <t>Gross margin</t>
  </si>
  <si>
    <t>Owner equity</t>
  </si>
  <si>
    <t>Operating expenses</t>
  </si>
  <si>
    <t>Owner share of total funds</t>
  </si>
  <si>
    <t>EBITDA</t>
  </si>
  <si>
    <t>EBITDA margin</t>
  </si>
  <si>
    <t>Value of the project</t>
  </si>
  <si>
    <t>Depreciation and interest</t>
  </si>
  <si>
    <t>Discount rate = WACC</t>
  </si>
  <si>
    <t>Net profit after tax</t>
  </si>
  <si>
    <t>NPV incl. recovery value (BDT million)</t>
  </si>
  <si>
    <t>Net profit margin</t>
  </si>
  <si>
    <t>IRR incl. recovery value</t>
  </si>
  <si>
    <t>Return on equity</t>
  </si>
  <si>
    <t>Payback period</t>
  </si>
  <si>
    <t>Profit before tax by unit, Year 4</t>
  </si>
  <si>
    <t>Discounted payback period</t>
  </si>
  <si>
    <t>Hatchery</t>
  </si>
  <si>
    <t>Profitability index</t>
  </si>
  <si>
    <t>Farming</t>
  </si>
  <si>
    <t>NPV, 5 years only (BDT million)</t>
  </si>
  <si>
    <t>COGS = feed, stock, hormone and factory overheads. Operating expenses = administrative, marketing, selling and distribution.</t>
  </si>
  <si>
    <t>Owner</t>
  </si>
  <si>
    <t>Total invested by the owner (BDT million)</t>
  </si>
  <si>
    <t>CASH FLOW STATEMENT</t>
  </si>
  <si>
    <t>Dividends in 5 years (BDT million)</t>
  </si>
  <si>
    <t>Dividends as % of owner investment</t>
  </si>
  <si>
    <t>Cash flow from operations</t>
  </si>
  <si>
    <t>Owner IRR incl. book equity at end of Year 5</t>
  </si>
  <si>
    <t>Cash flow from investing</t>
  </si>
  <si>
    <t>Cash flow from financing</t>
  </si>
  <si>
    <t>Lender view</t>
  </si>
  <si>
    <t>Net change in cash</t>
  </si>
  <si>
    <t>Minimum Debt Service Coverage Ratio (DSCR)</t>
  </si>
  <si>
    <t>Closing cash</t>
  </si>
  <si>
    <t>Average Debt Service Coverage Ratio (DSCR)</t>
  </si>
  <si>
    <t>Minimum interest cover</t>
  </si>
  <si>
    <t>WORKING CAPITAL</t>
  </si>
  <si>
    <t>Collateral cover at drawdown</t>
  </si>
  <si>
    <t>Lending benchmarks met</t>
  </si>
  <si>
    <t>Net working capital</t>
  </si>
  <si>
    <t>Net working capital as % of revenue</t>
  </si>
  <si>
    <t>Cash conversion cycle (days)</t>
  </si>
  <si>
    <t>CASH FLOW GENERATION</t>
  </si>
  <si>
    <t>BDT million (outflows in brackets)</t>
  </si>
  <si>
    <t>Interest</t>
  </si>
  <si>
    <t>Income tax</t>
  </si>
  <si>
    <t>Working capital changes</t>
  </si>
  <si>
    <t>Inventory</t>
  </si>
  <si>
    <t>Receivable</t>
  </si>
  <si>
    <t>Payable</t>
  </si>
  <si>
    <t>Capex</t>
  </si>
  <si>
    <t>Net cash generated</t>
  </si>
  <si>
    <t>Before loan repayment, owner funding and dividends. Details are on the Cash Flow sheet.</t>
  </si>
  <si>
    <t>SHEET GUIDE (click a name to open it)</t>
  </si>
  <si>
    <t>Assumptions</t>
  </si>
  <si>
    <t>Balance Sheet</t>
  </si>
  <si>
    <t>Segment Analysis</t>
  </si>
  <si>
    <t>Investment Analysis</t>
  </si>
  <si>
    <t>FA Schedule</t>
  </si>
  <si>
    <t>Owner Returns</t>
  </si>
  <si>
    <t>Operations</t>
  </si>
  <si>
    <t>Loan Analysis</t>
  </si>
  <si>
    <t>Working Capital</t>
  </si>
  <si>
    <t>Ratios</t>
  </si>
  <si>
    <t>Funding</t>
  </si>
  <si>
    <t>Scenarios and Risk</t>
  </si>
  <si>
    <t>Income Statement</t>
  </si>
  <si>
    <t>Sensitivity and Break-even</t>
  </si>
  <si>
    <t>Cash Flow</t>
  </si>
  <si>
    <t>Checks</t>
  </si>
  <si>
    <t>Inputs are the blue cells on this sheet and on the Farming, Hatchery, Operations and FA Schedule sheets.</t>
  </si>
  <si>
    <t>1. General</t>
  </si>
  <si>
    <t>Company</t>
  </si>
  <si>
    <t>text</t>
  </si>
  <si>
    <t>Sample Aqua Ltd.</t>
  </si>
  <si>
    <t>Fish farming and hatchery project (one site: farming and hatchery)</t>
  </si>
  <si>
    <t>Currency</t>
  </si>
  <si>
    <t>Bangladesh Taka (BDT)</t>
  </si>
  <si>
    <t>First financial year starts in</t>
  </si>
  <si>
    <t>year</t>
  </si>
  <si>
    <t>Year 1 = FY2026-27</t>
  </si>
  <si>
    <t>2. Scenario selector</t>
  </si>
  <si>
    <t>Active scenario (1 Base, 2 Downside, 3 Upside)</t>
  </si>
  <si>
    <t>1-3</t>
  </si>
  <si>
    <t>Change this one cell and the whole model re-runs</t>
  </si>
  <si>
    <t>Active scenario name</t>
  </si>
  <si>
    <t>Scenario factor</t>
  </si>
  <si>
    <t>Unit</t>
  </si>
  <si>
    <t>Base</t>
  </si>
  <si>
    <t>Downside</t>
  </si>
  <si>
    <t>Upside</t>
  </si>
  <si>
    <t>Active</t>
  </si>
  <si>
    <t>Selling price factor</t>
  </si>
  <si>
    <t>x</t>
  </si>
  <si>
    <t>Yield / volume factor</t>
  </si>
  <si>
    <t>Feed price factor</t>
  </si>
  <si>
    <t>Capital cost factor (land excluded)</t>
  </si>
  <si>
    <t>Interest rate add-on</t>
  </si>
  <si>
    <t>pp</t>
  </si>
  <si>
    <t>3. Yearly price and cost increases (Year 1 is the base year)</t>
  </si>
  <si>
    <t>Selling price increase per year: fish, fry and broodfish</t>
  </si>
  <si>
    <t>% a year</t>
  </si>
  <si>
    <t>Feed price increase per year</t>
  </si>
  <si>
    <t>Salary increase per year</t>
  </si>
  <si>
    <t>Two festival bonus equivalent to one months gross salary</t>
  </si>
  <si>
    <t>Administrative and other fixed cost increase per year</t>
  </si>
  <si>
    <t>Fuel cost increase per year</t>
  </si>
  <si>
    <t>Other operating cost increase per year</t>
  </si>
  <si>
    <t>Lime, entertainment, conveyance, parcelling materials, electricity, telephone and labour</t>
  </si>
  <si>
    <t>Selling price plan (BDT per unit)</t>
  </si>
  <si>
    <t>Year 1</t>
  </si>
  <si>
    <t>Increase a year</t>
  </si>
  <si>
    <t>Year 5</t>
  </si>
  <si>
    <t>Tilapia (grow-out fish)</t>
  </si>
  <si>
    <t>Tk per kg</t>
  </si>
  <si>
    <t>Carp (grow-out fish)</t>
  </si>
  <si>
    <t>Tilapia fry</t>
  </si>
  <si>
    <t>Tk per piece</t>
  </si>
  <si>
    <t>Carp fry</t>
  </si>
  <si>
    <t>Tilapia broodfish</t>
  </si>
  <si>
    <t>Carp broodfish</t>
  </si>
  <si>
    <t>Feed price (farming)</t>
  </si>
  <si>
    <t>4. Tax, financing and dividends</t>
  </si>
  <si>
    <t>Corporate income tax rate</t>
  </si>
  <si>
    <t>%</t>
  </si>
  <si>
    <t>Current rate used for this project: 27.5%. Tax losses are carried forward</t>
  </si>
  <si>
    <t>Interest rate on the term loan</t>
  </si>
  <si>
    <t>Interest charged on the opening loan balance</t>
  </si>
  <si>
    <t>Term loan as % of fixed assets cost</t>
  </si>
  <si>
    <t>Bank finances this share of the Year 0 fixed assets; the owner funds the rest plus the working capital reserve</t>
  </si>
  <si>
    <t>Loan tenor (including grace)</t>
  </si>
  <si>
    <t>years</t>
  </si>
  <si>
    <t>Grace period (interest only)</t>
  </si>
  <si>
    <t>No principal repaid in the grace years</t>
  </si>
  <si>
    <t>Minimum cash balance</t>
  </si>
  <si>
    <t>BDT</t>
  </si>
  <si>
    <t>If cash would fall below this, the owner injects the shortfall</t>
  </si>
  <si>
    <t>Dividend payout ratio</t>
  </si>
  <si>
    <t>% of profit</t>
  </si>
  <si>
    <t>Paid only from profit after tax and only if the cash balance stays above the minimum</t>
  </si>
  <si>
    <t>5. Discount rate (WACC) and bank benchmarks</t>
  </si>
  <si>
    <t>Cost of equity (owner required return)</t>
  </si>
  <si>
    <t>Discount rate = WACC (formula, from Investment Analysis)</t>
  </si>
  <si>
    <t>Cost of debt after tax = loan interest x (1 - tax rate)</t>
  </si>
  <si>
    <t>Minimum Debt Service Coverage Ratio, DSCR (loan covenant)</t>
  </si>
  <si>
    <t>Typical bank requirement: cash available for debt service / (interest + principal)</t>
  </si>
  <si>
    <t>Minimum interest cover (EBIT / interest)</t>
  </si>
  <si>
    <t>Maximum debt to equity</t>
  </si>
  <si>
    <t>Minimum collateral cover (security / loan)</t>
  </si>
  <si>
    <t>Minimum current ratio</t>
  </si>
  <si>
    <t>Minimum owner contribution</t>
  </si>
  <si>
    <t>% of project cost</t>
  </si>
  <si>
    <t>Forced-sale discount on security</t>
  </si>
  <si>
    <t>Land, ponds and buildings are valued at cost less this discount</t>
  </si>
  <si>
    <t>6. Operating assumptions</t>
  </si>
  <si>
    <t>Hatchery share of common cost, depreciation and interest</t>
  </si>
  <si>
    <t>70% hatchery and 30% farming</t>
  </si>
  <si>
    <t>Farming share (100% less hatchery share)</t>
  </si>
  <si>
    <t>Marketing expense</t>
  </si>
  <si>
    <t>% of hatchery sales</t>
  </si>
  <si>
    <t>Share of hatchery sales</t>
  </si>
  <si>
    <t>Selling expense</t>
  </si>
  <si>
    <t>Distribution expense (hatchery), per year</t>
  </si>
  <si>
    <t>Kept flat</t>
  </si>
  <si>
    <t>Receivable days</t>
  </si>
  <si>
    <t>days of sales</t>
  </si>
  <si>
    <t>Working Capital tab. Receivables = revenue x days / 365</t>
  </si>
  <si>
    <t>Inventory days</t>
  </si>
  <si>
    <t>days of cost of sales</t>
  </si>
  <si>
    <t>Feed, fingerlings and stock on hand</t>
  </si>
  <si>
    <t>Payable days</t>
  </si>
  <si>
    <t>Supplier credit</t>
  </si>
  <si>
    <t>Year 2 construction</t>
  </si>
  <si>
    <t>Construction cost in Year 2</t>
  </si>
  <si>
    <t>Year 2 land purchase: quantity</t>
  </si>
  <si>
    <t>decimal</t>
  </si>
  <si>
    <t>Land bought in Year 2</t>
  </si>
  <si>
    <t>Year 2 land purchase: rate</t>
  </si>
  <si>
    <t>BDT per decimal</t>
  </si>
  <si>
    <t>Tilapia broodfish stock</t>
  </si>
  <si>
    <t>pieces</t>
  </si>
  <si>
    <t>From the Hatchery sheet. All broodfish are sold once, in Year 4</t>
  </si>
  <si>
    <t>Carp broodfish stock</t>
  </si>
  <si>
    <t>From the Hatchery sheet</t>
  </si>
  <si>
    <t>Tilapia size at sale</t>
  </si>
  <si>
    <t>kg per piece</t>
  </si>
  <si>
    <t>Average weight after 3 years</t>
  </si>
  <si>
    <t>Carp size at sale</t>
  </si>
  <si>
    <t>Broodfish mortality before sale</t>
  </si>
  <si>
    <t>Share of the stock lost before the Year 4 sale</t>
  </si>
  <si>
    <t>Tilapia broodfish sold in Year 4</t>
  </si>
  <si>
    <t>kg</t>
  </si>
  <si>
    <t>Pieces x size x (1 - mortality)</t>
  </si>
  <si>
    <t>Carp broodfish sold in Year 4</t>
  </si>
  <si>
    <t>Depreciation rate: buildings</t>
  </si>
  <si>
    <t>% p.a.</t>
  </si>
  <si>
    <t>Straight line on cost, starting the year after purchase</t>
  </si>
  <si>
    <t>Depreciation rate: overhead tank</t>
  </si>
  <si>
    <t>Depreciation rate: equipment</t>
  </si>
  <si>
    <t>Depreciation rate: vehicles</t>
  </si>
  <si>
    <t>Depreciation rate: furniture and fixtures</t>
  </si>
  <si>
    <t>Land value change: value recovered at the end of Year 5</t>
  </si>
  <si>
    <t>Land is taken 10% below its cost when the project value is recovered. Enter 0% for no reduction</t>
  </si>
  <si>
    <t>Recovery value at end of Year 5: land, ponds and buildings</t>
  </si>
  <si>
    <t>% of cost</t>
  </si>
  <si>
    <t>Land is further adjusted by the line above</t>
  </si>
  <si>
    <t>Recovery value: furniture and fixtures</t>
  </si>
  <si>
    <t>Recovery value: vehicles</t>
  </si>
  <si>
    <t>Recovery value: overhead tank</t>
  </si>
  <si>
    <t>Recovery value: equipment</t>
  </si>
  <si>
    <t>FISH PROJECT - Farming</t>
  </si>
  <si>
    <t>LAND AREA : 600 DECIMAL</t>
  </si>
  <si>
    <t>Fish Housing: 600 decimal x 250 pcs = 150,000 pcs</t>
  </si>
  <si>
    <t>Fish production and Feed Requirement Chart:</t>
  </si>
  <si>
    <t>FISH HOUSING: 150,000 PCS X 3 BATCH + 30% EXTRA = 585,000 PCS</t>
  </si>
  <si>
    <t>FINGERLING RELEASE DATE</t>
  </si>
  <si>
    <t>2026 - 2027</t>
  </si>
  <si>
    <t>2027 - 2028</t>
  </si>
  <si>
    <t>2028 - 2029</t>
  </si>
  <si>
    <t>2029 - 2030</t>
  </si>
  <si>
    <t>Rearing Period</t>
  </si>
  <si>
    <t>Feed Requirement (KG)</t>
  </si>
  <si>
    <t>Fish Production       (Kg)</t>
  </si>
  <si>
    <t>01.04.27</t>
  </si>
  <si>
    <t>01.04.27~15.07.27</t>
  </si>
  <si>
    <t>01.07.27</t>
  </si>
  <si>
    <t>01.07.27~15.11.27</t>
  </si>
  <si>
    <t>01.10.27</t>
  </si>
  <si>
    <t>01.10.27~31.03.28</t>
  </si>
  <si>
    <t>01.04.28</t>
  </si>
  <si>
    <t>01.04.28~15.07.28</t>
  </si>
  <si>
    <t>01.07.28</t>
  </si>
  <si>
    <t>01.07.28~15.11.28</t>
  </si>
  <si>
    <t>01.10.28</t>
  </si>
  <si>
    <t>01.10.28~31.03.29</t>
  </si>
  <si>
    <t>01.04.29</t>
  </si>
  <si>
    <t>01.04.29~15.07.29</t>
  </si>
  <si>
    <t>01.07.29</t>
  </si>
  <si>
    <t>01.07.29~15.11.29</t>
  </si>
  <si>
    <t>01.10.29</t>
  </si>
  <si>
    <t>01.10.29~31.03.30</t>
  </si>
  <si>
    <t>01.04.30</t>
  </si>
  <si>
    <t>01.04.30~15.07.30</t>
  </si>
  <si>
    <t>Feed Requirement in per cycle</t>
  </si>
  <si>
    <t>Fish Name</t>
  </si>
  <si>
    <t>Fingerling Qty (pcs) per cycle</t>
  </si>
  <si>
    <t>FCR</t>
  </si>
  <si>
    <t>Fish Production (kg)</t>
  </si>
  <si>
    <t>Feed Requirement</t>
  </si>
  <si>
    <t>Talapia</t>
  </si>
  <si>
    <t>If we provide all facilities, excepted production will be found.</t>
  </si>
  <si>
    <t>Carp</t>
  </si>
  <si>
    <t>Feed Requirement circle wise</t>
  </si>
  <si>
    <t>Name of Feed</t>
  </si>
  <si>
    <t>Qty</t>
  </si>
  <si>
    <t>Nursery Feed</t>
  </si>
  <si>
    <t>Starter Feed</t>
  </si>
  <si>
    <t>Grower Feed</t>
  </si>
  <si>
    <t>Total Feed per circle</t>
  </si>
  <si>
    <t>Feed Requirement Year Wise:</t>
  </si>
  <si>
    <t>Qty (kg)</t>
  </si>
  <si>
    <t>Stater Feed</t>
  </si>
  <si>
    <t>Variable cost estimation:</t>
  </si>
  <si>
    <t>Particulars</t>
  </si>
  <si>
    <t>2029  - 2030</t>
  </si>
  <si>
    <t>2030 - 2031</t>
  </si>
  <si>
    <t>Unit cost</t>
  </si>
  <si>
    <t>Amt (Tk.)</t>
  </si>
  <si>
    <t>Fry / Fingerling</t>
  </si>
  <si>
    <t>Feed</t>
  </si>
  <si>
    <t>Total</t>
  </si>
  <si>
    <t>Fingerling rate (Tk per pc): Tilapia / Carp / extra stock %</t>
  </si>
  <si>
    <t>Cycles stocked in the year</t>
  </si>
  <si>
    <t>Revenue: selling rate rises every year (increase set on the Assumptions sheet)</t>
  </si>
  <si>
    <t>Selling rate (Tk)</t>
  </si>
  <si>
    <t>Tilapia (kg)</t>
  </si>
  <si>
    <t>Carp (kg)</t>
  </si>
  <si>
    <t>Total revenue</t>
  </si>
  <si>
    <t>Year 1 is a part year (harvest in Jan-Mar 2027 only); from Year 2 there are three harvests a year. Quantities come from the harvest calendar below. Year 5 repeats the Year 4 quantity at the Year 5 rate.</t>
  </si>
  <si>
    <t>Month-wise revenue (Tk) = harvest kg x selling rate of that year</t>
  </si>
  <si>
    <t>Item</t>
  </si>
  <si>
    <t>Tilapia (Tk.)</t>
  </si>
  <si>
    <t>Tk</t>
  </si>
  <si>
    <t>Carp (Tk.)</t>
  </si>
  <si>
    <t>Farming total (Tk.)</t>
  </si>
  <si>
    <t>Harvest calendar (kg)</t>
  </si>
  <si>
    <t>Farming total (kg)</t>
  </si>
  <si>
    <t>Colour code: blue on yellow = input, black = formula.</t>
  </si>
  <si>
    <t>FISH PROJECT - Hatchery</t>
  </si>
  <si>
    <t>Hatchery Shed: 2 Shed</t>
  </si>
  <si>
    <t>Tilapia Fry</t>
  </si>
  <si>
    <t>EGG COLLECTION DATE</t>
  </si>
  <si>
    <t>Fish Fry Production       (Pc)</t>
  </si>
  <si>
    <t>01.07.27~31.07.27</t>
  </si>
  <si>
    <t>01.07.28~31.07.28</t>
  </si>
  <si>
    <t>01.07.29~31.07.29</t>
  </si>
  <si>
    <t>01.08.27~31.08.27</t>
  </si>
  <si>
    <t>01.08.28~31.08.28</t>
  </si>
  <si>
    <t>01.08.29~31.08.29</t>
  </si>
  <si>
    <t>01.09.27~30.09.27</t>
  </si>
  <si>
    <t>01.09.28~30.09.28</t>
  </si>
  <si>
    <t>01.09.29~30.09.29</t>
  </si>
  <si>
    <t>01.04.27~30.04.27</t>
  </si>
  <si>
    <t>01.04.28~30.04.28</t>
  </si>
  <si>
    <t>01.04.29~30.04.29</t>
  </si>
  <si>
    <t>01.04.30~30.04.30</t>
  </si>
  <si>
    <t>01.05.27</t>
  </si>
  <si>
    <t>01.05.27~31.05.27</t>
  </si>
  <si>
    <t>01.05.28~31.05.28</t>
  </si>
  <si>
    <t>01.05.29~31.05.29</t>
  </si>
  <si>
    <t>01.05.30~31.05.30</t>
  </si>
  <si>
    <t>01.06.27</t>
  </si>
  <si>
    <t>01.06.27~30.06.27</t>
  </si>
  <si>
    <t>01.06.28~30.06.28</t>
  </si>
  <si>
    <t>01.06.29~30.06.29</t>
  </si>
  <si>
    <t>01.06.30~30.06.30</t>
  </si>
  <si>
    <t>Carp Fry</t>
  </si>
  <si>
    <t>Year 2027</t>
  </si>
  <si>
    <t>Year 2028</t>
  </si>
  <si>
    <t>Year 2029</t>
  </si>
  <si>
    <t>Fish Fry Production       (Kg)</t>
  </si>
  <si>
    <t>01.03.27</t>
  </si>
  <si>
    <t>01.03.27~31.12.27</t>
  </si>
  <si>
    <t>Feed Requirement for Tilapia</t>
  </si>
  <si>
    <t>Qty (pcs)</t>
  </si>
  <si>
    <t>Fry Production (kg)</t>
  </si>
  <si>
    <t>Rate</t>
  </si>
  <si>
    <t>Tilapia - Fry</t>
  </si>
  <si>
    <t>Tilapia - Broodfish</t>
  </si>
  <si>
    <t>This fish will be sold after 3rd year on the year of 2030</t>
  </si>
  <si>
    <t>Carp - Broodfish</t>
  </si>
  <si>
    <t>Carp - Fry</t>
  </si>
  <si>
    <t>-</t>
  </si>
  <si>
    <t>No feed is required for Carp fry</t>
  </si>
  <si>
    <t>Note: Cycle 5 days, 1st day brood collection, 2nd day egg collection, 3rd day egg fertilization, 4th and 5th fry rearing</t>
  </si>
  <si>
    <t>Brood Tilapia</t>
  </si>
  <si>
    <t>Brood Carp</t>
  </si>
  <si>
    <t>Total Brood</t>
  </si>
  <si>
    <t>Feed for fry (kg)</t>
  </si>
  <si>
    <t>Total Feed</t>
  </si>
  <si>
    <t>Hormone 10ml recipient of oval prim</t>
  </si>
  <si>
    <t>Tilapia fry (pcs)</t>
  </si>
  <si>
    <t>Carp fry (kg)</t>
  </si>
  <si>
    <t>Tilapia broodfish (kg)</t>
  </si>
  <si>
    <t>Carp broodfish (kg)</t>
  </si>
  <si>
    <t>Broodfish are sold once, after 3 years (Year 4). Quantities come from the production calendar below. The quantity sold is worked out on the Assumptions sheet (stock x size x (1 - mortality)). Year 5 broodfish quantity is zero because the old stock is sold only once.</t>
  </si>
  <si>
    <t>Month-wise revenue (Tk) = quantity x selling rate of that year</t>
  </si>
  <si>
    <t>Tilapia fry (Tk.)</t>
  </si>
  <si>
    <t>Carp fry (Tk.)</t>
  </si>
  <si>
    <t>Tilapia broodfish (Tk.)</t>
  </si>
  <si>
    <t>Carp broodfish (Tk.)</t>
  </si>
  <si>
    <t>Hatchery total (Tk.)</t>
  </si>
  <si>
    <t>Production and sales calendar (tilapia fry in pcs; carp fry and broodfish in kg)</t>
  </si>
  <si>
    <t>pcs</t>
  </si>
  <si>
    <t>Capital Expenditure and Depreciation</t>
  </si>
  <si>
    <t>Straight-line depreciation starts in the year after purchase</t>
  </si>
  <si>
    <t>Financial year</t>
  </si>
  <si>
    <t>Opening</t>
  </si>
  <si>
    <t>Capital expenditure</t>
  </si>
  <si>
    <t>Land</t>
  </si>
  <si>
    <t>Ponds and earthworks</t>
  </si>
  <si>
    <t>Buildings and civil works</t>
  </si>
  <si>
    <t>Overhead water tanks</t>
  </si>
  <si>
    <t>Equipment (including 5% contingency)</t>
  </si>
  <si>
    <t>Vehicles</t>
  </si>
  <si>
    <t>Furniture and fixtures</t>
  </si>
  <si>
    <t>Total capital expenditure</t>
  </si>
  <si>
    <t>of which depreciable</t>
  </si>
  <si>
    <t>Depreciation (rate in column C, straight line on cost)</t>
  </si>
  <si>
    <t>Equipment</t>
  </si>
  <si>
    <t>Total depreciation</t>
  </si>
  <si>
    <t>of which hatchery share</t>
  </si>
  <si>
    <t>Net book value</t>
  </si>
  <si>
    <t>Depreciable assets at cost, closing</t>
  </si>
  <si>
    <t>Accumulated depreciation, closing</t>
  </si>
  <si>
    <t>Net book value, depreciable assets</t>
  </si>
  <si>
    <t>Land and ponds at cost (not depreciated)</t>
  </si>
  <si>
    <t>Total fixed assets, net</t>
  </si>
  <si>
    <t>Fixed assets at cost, closing</t>
  </si>
  <si>
    <t>Security: land, ponds and buildings at cost</t>
  </si>
  <si>
    <t>List of assets (figures in Taka)</t>
  </si>
  <si>
    <t>Land and Building</t>
  </si>
  <si>
    <t>Cost</t>
  </si>
  <si>
    <t>Ponds</t>
  </si>
  <si>
    <t>Building</t>
  </si>
  <si>
    <t>Furniture &amp; Fixtures</t>
  </si>
  <si>
    <t>Vehicle</t>
  </si>
  <si>
    <t>Overhead tank.</t>
  </si>
  <si>
    <t>Pump</t>
  </si>
  <si>
    <t>Water parameter measuring instrument (multimetre)</t>
  </si>
  <si>
    <t>Microscope</t>
  </si>
  <si>
    <t>Refrigerator</t>
  </si>
  <si>
    <t>Scale balance</t>
  </si>
  <si>
    <t>Computer</t>
  </si>
  <si>
    <t>Electric generator</t>
  </si>
  <si>
    <t>Wheel barrows</t>
  </si>
  <si>
    <t>Spades</t>
  </si>
  <si>
    <t>Contingency</t>
  </si>
  <si>
    <t>Grand Total</t>
  </si>
  <si>
    <t>Operations: Revenue and Operating Costs</t>
  </si>
  <si>
    <t>Revenue and direct costs are picked up from the Farming and Hatchery sheets; overheads come from the cost build-up at the bottom of this sheet.</t>
  </si>
  <si>
    <t>A. Revenue (BDT thousand): picked up from the Hatchery and Farming sheets</t>
  </si>
  <si>
    <t>Hatchery: tilapia fry</t>
  </si>
  <si>
    <t>Hatchery: carp fry</t>
  </si>
  <si>
    <t>Hatchery: tilapia broodfish</t>
  </si>
  <si>
    <t>Hatchery: carp broodfish</t>
  </si>
  <si>
    <t>Hatchery revenue</t>
  </si>
  <si>
    <t>Farming: tilapia</t>
  </si>
  <si>
    <t>Farming: carp</t>
  </si>
  <si>
    <t>Farming revenue</t>
  </si>
  <si>
    <t>B. Selling rates used (BDT per unit): they rise every year by the price increase on the Assumptions sheet</t>
  </si>
  <si>
    <t>Tilapia (per kg)</t>
  </si>
  <si>
    <t>Carp (per kg)</t>
  </si>
  <si>
    <t>Tilapia fry (per piece)</t>
  </si>
  <si>
    <t>Carp fry (per kg)</t>
  </si>
  <si>
    <t>Tilapia broodfish (per kg, sold in Year 4)</t>
  </si>
  <si>
    <t>Carp broodfish (per kg, sold in Year 4)</t>
  </si>
  <si>
    <t>Yearly increase in the selling rate</t>
  </si>
  <si>
    <t>C. Variable costs (BDT thousand): they move with production and sales</t>
  </si>
  <si>
    <t>Feed: hatchery</t>
  </si>
  <si>
    <t>Feed: farming</t>
  </si>
  <si>
    <t>Feed total</t>
  </si>
  <si>
    <t>Broodstock: hatchery</t>
  </si>
  <si>
    <t>Fingerlings: farming</t>
  </si>
  <si>
    <t>Broodstock and fingerlings total</t>
  </si>
  <si>
    <t>Hormone: hatchery</t>
  </si>
  <si>
    <t>Direct costs (feed, stock, hormone)</t>
  </si>
  <si>
    <t>Factory overheads (fuel, lime, utilities, packing, labour)</t>
  </si>
  <si>
    <t>Marketing (% of hatchery revenue)</t>
  </si>
  <si>
    <t>Selling (% of hatchery revenue)</t>
  </si>
  <si>
    <t>Total variable costs</t>
  </si>
  <si>
    <t>Contribution (revenue less variable costs)</t>
  </si>
  <si>
    <t>Contribution margin</t>
  </si>
  <si>
    <t>D. Fixed costs (BDT thousand): they do not change with production</t>
  </si>
  <si>
    <t>Salaries and festival bonus</t>
  </si>
  <si>
    <t>Other administrative (office, maintenance, administration, contingency)</t>
  </si>
  <si>
    <t>Administrative expenses</t>
  </si>
  <si>
    <t>Distribution (hatchery)</t>
  </si>
  <si>
    <t>Total fixed costs</t>
  </si>
  <si>
    <t>Total operating costs before depreciation and interest</t>
  </si>
  <si>
    <t>EBITDA (contribution less fixed costs)</t>
  </si>
  <si>
    <t>E. Cost build-up (BDT, full Taka)</t>
  </si>
  <si>
    <t>Type</t>
  </si>
  <si>
    <t>Year 2 step-up (x)</t>
  </si>
  <si>
    <t>Fuel</t>
  </si>
  <si>
    <t>Variable</t>
  </si>
  <si>
    <t>400 litres x 6 months at Tk 65 in Year 1; fuel rises 10% a year</t>
  </si>
  <si>
    <t>Lime</t>
  </si>
  <si>
    <t>Year 2: full year</t>
  </si>
  <si>
    <t>Entertainment</t>
  </si>
  <si>
    <t>Local conveyance</t>
  </si>
  <si>
    <t>Materials for parcelling</t>
  </si>
  <si>
    <t>Distribution cost</t>
  </si>
  <si>
    <t>Electricity bills</t>
  </si>
  <si>
    <t>Internet and telephone bills</t>
  </si>
  <si>
    <t>Labour</t>
  </si>
  <si>
    <t>Total variable overheads</t>
  </si>
  <si>
    <t>Office materials</t>
  </si>
  <si>
    <t>Fixed</t>
  </si>
  <si>
    <t>Maintenance cost</t>
  </si>
  <si>
    <t>Salary for hatchery manager</t>
  </si>
  <si>
    <t>Salary for 4 technicians</t>
  </si>
  <si>
    <t>Salary for night watchman</t>
  </si>
  <si>
    <t>Festival bonus</t>
  </si>
  <si>
    <t>Administration</t>
  </si>
  <si>
    <t>Contingency (% of the fixed items above)</t>
  </si>
  <si>
    <t>Total fixed overheads</t>
  </si>
  <si>
    <t>Year 5 repeats Year 4 quantities.</t>
  </si>
  <si>
    <t>Working Capital and Cash Cycle</t>
  </si>
  <si>
    <t>Receivables, inventory and payables are driven by days.</t>
  </si>
  <si>
    <t>Base for the calculation</t>
  </si>
  <si>
    <t>Cost of sales (direct costs and factory overheads)</t>
  </si>
  <si>
    <t>Working capital balances</t>
  </si>
  <si>
    <t>Trade receivables</t>
  </si>
  <si>
    <t>Inventory (feed, fingerlings, stock on hand)</t>
  </si>
  <si>
    <t>Trade payables</t>
  </si>
  <si>
    <t>Increase in net working capital (cash outflow)</t>
  </si>
  <si>
    <t>Receivable days (DSO)</t>
  </si>
  <si>
    <t>days</t>
  </si>
  <si>
    <t>Inventory days (DIO)</t>
  </si>
  <si>
    <t>Operating cycle (DSO + DIO)</t>
  </si>
  <si>
    <t>Payable days (DPO)</t>
  </si>
  <si>
    <t>Cash conversion cycle (DSO + DIO - DPO)</t>
  </si>
  <si>
    <t>Chart data (Year 4)</t>
  </si>
  <si>
    <t>DSO</t>
  </si>
  <si>
    <t>DIO</t>
  </si>
  <si>
    <t>DPO</t>
  </si>
  <si>
    <t>Cycle</t>
  </si>
  <si>
    <t>Funding and Term Loan</t>
  </si>
  <si>
    <t>Sources and uses of funds at Year 0, the owner contribution and the bank loan schedule.</t>
  </si>
  <si>
    <t>Uses of funds (Year 0)</t>
  </si>
  <si>
    <t>Land and ponds</t>
  </si>
  <si>
    <t>Buildings and overhead tank</t>
  </si>
  <si>
    <t>Equipment, vehicles, furniture and fixtures</t>
  </si>
  <si>
    <t>Total uses</t>
  </si>
  <si>
    <t>Sources of funds (Year 0)</t>
  </si>
  <si>
    <t>Total sources</t>
  </si>
  <si>
    <t>Bank loan as % of total uses</t>
  </si>
  <si>
    <t>Owner contribution as % of total uses</t>
  </si>
  <si>
    <t>Term loan schedule</t>
  </si>
  <si>
    <t>Repayment share of the loan</t>
  </si>
  <si>
    <t>Opening balance</t>
  </si>
  <si>
    <t>Drawdown</t>
  </si>
  <si>
    <t>Repayment</t>
  </si>
  <si>
    <t>Closing balance</t>
  </si>
  <si>
    <t>Interest rate (loan rate plus scenario add-on)</t>
  </si>
  <si>
    <t>Interest (on opening balance)</t>
  </si>
  <si>
    <t>Total debt service (interest + repayment)</t>
  </si>
  <si>
    <t>Interest on opening balance. The loan funds fixed assets only; the owner funds the rest.</t>
  </si>
  <si>
    <t>Projected Income Statement</t>
  </si>
  <si>
    <t>Farming and hatchery revenue and costs, with depreciation shown below EBITDA and interest on the bank loan. Costs are negative.</t>
  </si>
  <si>
    <t>Cost of sales</t>
  </si>
  <si>
    <t>Broodstock and fingerlings</t>
  </si>
  <si>
    <t>Hormone</t>
  </si>
  <si>
    <t>Factory overheads</t>
  </si>
  <si>
    <t>Total cost of sales</t>
  </si>
  <si>
    <t>Administrative</t>
  </si>
  <si>
    <t>Marketing</t>
  </si>
  <si>
    <t>Selling</t>
  </si>
  <si>
    <t>Distribution</t>
  </si>
  <si>
    <t>Total operating expenses</t>
  </si>
  <si>
    <t>Depreciation</t>
  </si>
  <si>
    <t>EBIT</t>
  </si>
  <si>
    <t>Interest on term loan</t>
  </si>
  <si>
    <t>Profit before tax</t>
  </si>
  <si>
    <t>Net margin</t>
  </si>
  <si>
    <t>Tax loss carried forward</t>
  </si>
  <si>
    <t>Tax loss, opening</t>
  </si>
  <si>
    <t>Loss used against profit</t>
  </si>
  <si>
    <t>Loss added</t>
  </si>
  <si>
    <t>Tax loss, closing</t>
  </si>
  <si>
    <t>Taxable profit</t>
  </si>
  <si>
    <t>Projected Cash Flow Statement</t>
  </si>
  <si>
    <t>Indirect method. This single statement drives the balance sheet; owner funding and dividends are decided here.</t>
  </si>
  <si>
    <t>Operating activities</t>
  </si>
  <si>
    <t>Add: depreciation</t>
  </si>
  <si>
    <t>Increase in receivables</t>
  </si>
  <si>
    <t>Increase in inventory</t>
  </si>
  <si>
    <t>Increase in payables</t>
  </si>
  <si>
    <t>Investing activities</t>
  </si>
  <si>
    <t>Financing activities</t>
  </si>
  <si>
    <t>Term loan drawdown</t>
  </si>
  <si>
    <t>Term loan repayment</t>
  </si>
  <si>
    <t>Owner equity injected</t>
  </si>
  <si>
    <t>Dividends paid to owner</t>
  </si>
  <si>
    <t>Cash before owner funding and dividends (memo)</t>
  </si>
  <si>
    <t>Cash position</t>
  </si>
  <si>
    <t>Opening cash</t>
  </si>
  <si>
    <t>Owner account (memo)</t>
  </si>
  <si>
    <t>Owner equity invested, cumulative</t>
  </si>
  <si>
    <t>Retained earnings, closing</t>
  </si>
  <si>
    <t>Cash Flow Generated (before loan repayment, owner funding and dividends)</t>
  </si>
  <si>
    <t>Cash Flow Generated</t>
  </si>
  <si>
    <t>Cash flow from operations + investing (reconciliation)</t>
  </si>
  <si>
    <t>Difference (should be zero)</t>
  </si>
  <si>
    <t>Direct method (memo)</t>
  </si>
  <si>
    <t>Cash receipts from customers</t>
  </si>
  <si>
    <t>Cash paid to suppliers for cost of sales</t>
  </si>
  <si>
    <t>Cash paid for operating expenses</t>
  </si>
  <si>
    <t>Cash from operations before interest and tax</t>
  </si>
  <si>
    <t>Interest paid</t>
  </si>
  <si>
    <t>Income tax paid</t>
  </si>
  <si>
    <t>Cash flow from operations (direct method)</t>
  </si>
  <si>
    <t>Cash Flow Generated (direct method)</t>
  </si>
  <si>
    <t>Difference from the indirect method (should be zero)</t>
  </si>
  <si>
    <t>Projected Balance Sheet</t>
  </si>
  <si>
    <t>Year-end positions. Share capital is the cumulative owner investment; the term loan comes from the Funding sheet.</t>
  </si>
  <si>
    <t>Assets</t>
  </si>
  <si>
    <t>Fixed assets, net book value</t>
  </si>
  <si>
    <t>Cash</t>
  </si>
  <si>
    <t>Total assets</t>
  </si>
  <si>
    <t>Liabilities</t>
  </si>
  <si>
    <t>Term loan (bank)</t>
  </si>
  <si>
    <t>Total liabilities</t>
  </si>
  <si>
    <t>Share capital (owner investment)</t>
  </si>
  <si>
    <t>Retained earnings</t>
  </si>
  <si>
    <t>Total owner equity</t>
  </si>
  <si>
    <t>Total liabilities and equity</t>
  </si>
  <si>
    <t>Balance check (assets less liabilities and equity)</t>
  </si>
  <si>
    <t>Segment Analysis: Hatchery and Farming</t>
  </si>
  <si>
    <t>Revenue, cost and profit of each business, using the assumed allocation (70% hatchery / 30% farming for shared cost, depreciation and interest).</t>
  </si>
  <si>
    <t>Marketing, selling and distribution</t>
  </si>
  <si>
    <t>Summary: revenue, cost and profit by segment</t>
  </si>
  <si>
    <t>Hatchery: revenue</t>
  </si>
  <si>
    <t>Hatchery: total cost (all costs including depreciation and interest)</t>
  </si>
  <si>
    <t>Hatchery: profit before tax</t>
  </si>
  <si>
    <t>Farming: revenue</t>
  </si>
  <si>
    <t>Farming: total cost (all costs including depreciation and interest)</t>
  </si>
  <si>
    <t>Farming: profit before tax</t>
  </si>
  <si>
    <t>Total cost</t>
  </si>
  <si>
    <t>Total profit before tax</t>
  </si>
  <si>
    <t>Share of total</t>
  </si>
  <si>
    <t>Hatchery: share of revenue</t>
  </si>
  <si>
    <t>Farming: share of revenue</t>
  </si>
  <si>
    <t>Hatchery: share of profit before tax</t>
  </si>
  <si>
    <t>Farming: share of profit before tax</t>
  </si>
  <si>
    <t>Capital and return (shared fixed assets split by the hatchery share)</t>
  </si>
  <si>
    <t>Hatchery: net fixed assets</t>
  </si>
  <si>
    <t>Farming: net fixed assets</t>
  </si>
  <si>
    <t>Hatchery: EBIT / net fixed assets</t>
  </si>
  <si>
    <t>Farming: EBIT / net fixed assets</t>
  </si>
  <si>
    <t>Remarks (update with the active scenario)</t>
  </si>
  <si>
    <t>Project cash flow before financing, NPV, IRR and payback. Year 0 is the construction year.</t>
  </si>
  <si>
    <t>Discount rate: weighted average cost of capital (WACC)</t>
  </si>
  <si>
    <t>Interest rate on the term loan (before tax)</t>
  </si>
  <si>
    <t>Cost of debt after tax = interest x (1 - tax)</t>
  </si>
  <si>
    <t>Cost of equity (input on Assumptions)</t>
  </si>
  <si>
    <t>Bank loan at Year 0</t>
  </si>
  <si>
    <t>Owner equity at Year 0</t>
  </si>
  <si>
    <t>Weight of debt = loan / (loan + equity)</t>
  </si>
  <si>
    <t>Weight of equity = equity / (loan + equity)</t>
  </si>
  <si>
    <t>WACC = weight of debt x cost of debt + weight of equity x cost of equity</t>
  </si>
  <si>
    <t>This rate discounts every cash flow below</t>
  </si>
  <si>
    <t>Project cash flow (before financing)</t>
  </si>
  <si>
    <t>Tax on operating profit (no financing benefit)</t>
  </si>
  <si>
    <t>Increase in working capital</t>
  </si>
  <si>
    <t>Project free cash flow</t>
  </si>
  <si>
    <t>Cumulative cash flow</t>
  </si>
  <si>
    <t>Discount factor</t>
  </si>
  <si>
    <t>Present value of cash flow</t>
  </si>
  <si>
    <t>Cumulative present value</t>
  </si>
  <si>
    <t>Recovery value at the end of Year 5 (land taken at the adjusted value)</t>
  </si>
  <si>
    <t>Land, ponds and buildings</t>
  </si>
  <si>
    <t>Equipment, vehicles, furniture and tank</t>
  </si>
  <si>
    <t>Release of working capital</t>
  </si>
  <si>
    <t>Total recovery value</t>
  </si>
  <si>
    <t>Project cash flow including recovery</t>
  </si>
  <si>
    <t>Investment measures</t>
  </si>
  <si>
    <t>Discount rate</t>
  </si>
  <si>
    <t>Net present value (5 years, without recovery value)</t>
  </si>
  <si>
    <t>Positive = the project earns more than the required return</t>
  </si>
  <si>
    <t>Internal rate of return (without recovery value)</t>
  </si>
  <si>
    <t>Compare with the discount rate</t>
  </si>
  <si>
    <t>Modified IRR (finance and reinvestment at loan rate)</t>
  </si>
  <si>
    <t>Profitability index (PV of inflows / investment)</t>
  </si>
  <si>
    <t>Above 1.0 is favourable</t>
  </si>
  <si>
    <t>Years until cumulative cash flow turns positive</t>
  </si>
  <si>
    <t>Net present value including recovery value</t>
  </si>
  <si>
    <t>Adds the end-of-Year-5 recovery of assets and working capital</t>
  </si>
  <si>
    <t>IRR including recovery value</t>
  </si>
  <si>
    <t>Decision (including recovery value)</t>
  </si>
  <si>
    <t>Note on the 5-year view</t>
  </si>
  <si>
    <t>Owner Investment and Dividends</t>
  </si>
  <si>
    <t>How much the owner puts in, and how much the project pays back as dividends.</t>
  </si>
  <si>
    <t>Owner investment</t>
  </si>
  <si>
    <t>Initial equity (Year 0)</t>
  </si>
  <si>
    <t>Further equity injected (to keep minimum cash)</t>
  </si>
  <si>
    <t>Total owner investment in the year</t>
  </si>
  <si>
    <t>Owner investment, cumulative</t>
  </si>
  <si>
    <t>Dividends</t>
  </si>
  <si>
    <t>Payout ratio (dividend / net profit)</t>
  </si>
  <si>
    <t>Dividends, cumulative</t>
  </si>
  <si>
    <t>Cumulative dividends as % of owner investment</t>
  </si>
  <si>
    <t>Dividend yield on owner investment</t>
  </si>
  <si>
    <t>Owner equity (book value), closing</t>
  </si>
  <si>
    <t>Owner cash flows and returns</t>
  </si>
  <si>
    <t>Free cash flow to equity (after debt service, before dividends)</t>
  </si>
  <si>
    <t>Owner cash flow: dividends only</t>
  </si>
  <si>
    <t>Owner cash flow including book equity at end of Year 5</t>
  </si>
  <si>
    <t>Summary for the owner</t>
  </si>
  <si>
    <t>Total invested by the owner</t>
  </si>
  <si>
    <t>Total dividends received in 5 years</t>
  </si>
  <si>
    <t>Owner equity at end of Year 5 (book value)</t>
  </si>
  <si>
    <t>Dividends plus equity value, as multiple of investment</t>
  </si>
  <si>
    <t>Owner IRR on dividends only</t>
  </si>
  <si>
    <t>Owner IRR including book equity at end of Year 5</t>
  </si>
  <si>
    <t>The IRR on dividends only is low in a 5-year view because most of the value sits in the assets.</t>
  </si>
  <si>
    <t>Loan Analysis for the Bank</t>
  </si>
  <si>
    <t>What a lender checks before sanctioning a term loan: repayment capacity, leverage, security and a benchmark scorecard.</t>
  </si>
  <si>
    <t>Repayment capacity</t>
  </si>
  <si>
    <t>Less: income tax paid</t>
  </si>
  <si>
    <t>Less: increase in working capital</t>
  </si>
  <si>
    <t>Cash flow available for debt service (CFADS)</t>
  </si>
  <si>
    <t>Principal repayment</t>
  </si>
  <si>
    <t>Total debt service</t>
  </si>
  <si>
    <t>Debt Service Coverage Ratio (DSCR) = CFADS / debt service</t>
  </si>
  <si>
    <t>Interest cover (EBIT / interest)</t>
  </si>
  <si>
    <t>EBITDA / interest</t>
  </si>
  <si>
    <t>Debt Service Coverage Ratio in repayment years (used in the scorecard)</t>
  </si>
  <si>
    <t>Interest cover in repayment years (used in the scorecard)</t>
  </si>
  <si>
    <t>Year 1 is a ramp-up year with interest only (grace period); lenders test cover from the first repayment year.</t>
  </si>
  <si>
    <t>Leverage and security</t>
  </si>
  <si>
    <t>Term loan outstanding, closing</t>
  </si>
  <si>
    <t>Debt to equity</t>
  </si>
  <si>
    <t>Debt to EBITDA</t>
  </si>
  <si>
    <t>Fixed assets (net book value) / loan</t>
  </si>
  <si>
    <t>Security value after forced-sale discount</t>
  </si>
  <si>
    <t>Collateral cover (security / loan outstanding)</t>
  </si>
  <si>
    <t>Current ratio (receivables + inventory + cash) / (payables + loan due next year)</t>
  </si>
  <si>
    <t>Current ratio in repayment years (used in the scorecard)</t>
  </si>
  <si>
    <t>Loan life cover ratio, Year 1 view (PV of CFADS / loan)</t>
  </si>
  <si>
    <t>Credit scorecard against bank benchmarks</t>
  </si>
  <si>
    <t>Criterion</t>
  </si>
  <si>
    <t>Benchmark</t>
  </si>
  <si>
    <t>Actual</t>
  </si>
  <si>
    <t>Result</t>
  </si>
  <si>
    <t>Minimum Debt Service Coverage Ratio (DSCR) in repayment years</t>
  </si>
  <si>
    <t>Average Debt Service Coverage Ratio (DSCR) in repayment years</t>
  </si>
  <si>
    <t>Minimum interest cover in repayment years (EBIT / interest)</t>
  </si>
  <si>
    <t>Debt to equity at drawdown</t>
  </si>
  <si>
    <t>Owner contribution to total uses</t>
  </si>
  <si>
    <t>Minimum current ratio in repayment years</t>
  </si>
  <si>
    <t>Loan fully repaid within tenor</t>
  </si>
  <si>
    <t>Benchmarks met</t>
  </si>
  <si>
    <t>count</t>
  </si>
  <si>
    <t>The five Cs of credit</t>
  </si>
  <si>
    <t>Capacity: Repayment from cash flow</t>
  </si>
  <si>
    <t>Capital: Owner stake in the project</t>
  </si>
  <si>
    <t>Collateral: Security for the lender</t>
  </si>
  <si>
    <t>Conditions: Stress behaviour</t>
  </si>
  <si>
    <t>See the Scenarios and Sensitivity sheets</t>
  </si>
  <si>
    <t>Character: Promoter track record</t>
  </si>
  <si>
    <t>Assessed by the bank outside this model: experience, credit history and management team</t>
  </si>
  <si>
    <t>Ratio Analysis</t>
  </si>
  <si>
    <t>Profitability, liquidity, leverage, coverage and efficiency, year by year.</t>
  </si>
  <si>
    <t>Profitability</t>
  </si>
  <si>
    <t>EBIT margin</t>
  </si>
  <si>
    <t>Return on equity (net profit / closing equity)</t>
  </si>
  <si>
    <t>Return on capital employed (EBIT / (equity + loan))</t>
  </si>
  <si>
    <t>Return on assets (net profit / total assets)</t>
  </si>
  <si>
    <t>Liquidity</t>
  </si>
  <si>
    <t>Quick ratio (receivables + cash) / current liabilities</t>
  </si>
  <si>
    <t>Cash balance</t>
  </si>
  <si>
    <t>Leverage</t>
  </si>
  <si>
    <t>Total liabilities to owner equity</t>
  </si>
  <si>
    <t>Equity ratio (equity / total assets)</t>
  </si>
  <si>
    <t>Coverage</t>
  </si>
  <si>
    <t>Debt Service Coverage Ratio (DSCR)</t>
  </si>
  <si>
    <t>Efficiency and growth</t>
  </si>
  <si>
    <t>Asset turnover (revenue / total assets)</t>
  </si>
  <si>
    <t>Fixed asset turnover (revenue / net fixed assets)</t>
  </si>
  <si>
    <t>Cash conversion cycle</t>
  </si>
  <si>
    <t>EBITDA growth</t>
  </si>
  <si>
    <t>Base, downside and upside results saved from running this model, next to the live result of the active scenario.</t>
  </si>
  <si>
    <t>Base case</t>
  </si>
  <si>
    <t>Downside case</t>
  </si>
  <si>
    <t>Upside case</t>
  </si>
  <si>
    <t>Live: active scenario</t>
  </si>
  <si>
    <t>Project NPV, 5 years only</t>
  </si>
  <si>
    <t>Project NPV including recovery value</t>
  </si>
  <si>
    <t>Project IRR including recovery value</t>
  </si>
  <si>
    <t>Payback (years)</t>
  </si>
  <si>
    <t>&gt; 5</t>
  </si>
  <si>
    <t>Lending benchmarks met (of 8)</t>
  </si>
  <si>
    <t>Total owner investment</t>
  </si>
  <si>
    <t>Total dividends in 5 years</t>
  </si>
  <si>
    <t>Lowest closing cash</t>
  </si>
  <si>
    <t>Scenario definitions (change on the Assumptions sheet):</t>
  </si>
  <si>
    <t>Selling price</t>
  </si>
  <si>
    <t>Yield / volume</t>
  </si>
  <si>
    <t>Feed price</t>
  </si>
  <si>
    <t>Capital cost</t>
  </si>
  <si>
    <t>Interest add-on (pp)</t>
  </si>
  <si>
    <t>Base, downside and upside are saved results. The live column follows the selector on the Assumptions sheet.</t>
  </si>
  <si>
    <t>Revenue by year</t>
  </si>
  <si>
    <t>Year 2</t>
  </si>
  <si>
    <t>Year 3</t>
  </si>
  <si>
    <t>Year 4</t>
  </si>
  <si>
    <t>Year 4 includes the one-time sale of the old broodfish.</t>
  </si>
  <si>
    <t>EBITDA by year</t>
  </si>
  <si>
    <t>Net profit after tax by year</t>
  </si>
  <si>
    <t>Risk register</t>
  </si>
  <si>
    <t>Risk</t>
  </si>
  <si>
    <t>Likelihood</t>
  </si>
  <si>
    <t>Impact</t>
  </si>
  <si>
    <t>Where it shows</t>
  </si>
  <si>
    <t>Mitigation</t>
  </si>
  <si>
    <t>Fish disease and high mortality</t>
  </si>
  <si>
    <t>Medium</t>
  </si>
  <si>
    <t>High</t>
  </si>
  <si>
    <t>Yield factor; Farming survival</t>
  </si>
  <si>
    <t>Water quality instruments, microscope and regular health checks; staged stocking</t>
  </si>
  <si>
    <t>Feed price rise above plan</t>
  </si>
  <si>
    <t>Feed price factor; Sensitivity</t>
  </si>
  <si>
    <t>Bulk purchase, feed contracts; feed is the largest cost line (the plan already adds a yearly increase)</t>
  </si>
  <si>
    <t>Fall in fish or fry selling price</t>
  </si>
  <si>
    <t>Price factor; Sensitivity</t>
  </si>
  <si>
    <t>Spread sales across buyers; hatchery and farming diversify income</t>
  </si>
  <si>
    <t>Yearly selling price increase not achieved</t>
  </si>
  <si>
    <t>Price increase a year; Sensitivity</t>
  </si>
  <si>
    <t>The plan adds a yearly price increase; test lower increases on the Sensitivity sheet and sign longer-term supply contracts</t>
  </si>
  <si>
    <t>Salary and administrative costs rise faster than plan</t>
  </si>
  <si>
    <t>Salary and administrative increase a year</t>
  </si>
  <si>
    <t>Review the yearly increase on the Assumptions sheet; link pay rises to results</t>
  </si>
  <si>
    <t>Farming and hatchery depend on one site</t>
  </si>
  <si>
    <t>Low</t>
  </si>
  <si>
    <t>Not modelled; insurance</t>
  </si>
  <si>
    <t>Disease, flood or power failure hits both units: insurance, generator (in asset list), site biosecurity</t>
  </si>
  <si>
    <t>Delay in harvest or fry output</t>
  </si>
  <si>
    <t>Farming and Hatchery calendars</t>
  </si>
  <si>
    <t>Cycle planning; hatchery shed capacity for steady fry supply</t>
  </si>
  <si>
    <t>Interest rate increase</t>
  </si>
  <si>
    <t>Interest add-on; Debt Service Coverage Ratio</t>
  </si>
  <si>
    <t>Fixed-rate or capped loan; keep minimum cash reserve</t>
  </si>
  <si>
    <t>Capital cost overrun</t>
  </si>
  <si>
    <t>Capital cost factor</t>
  </si>
  <si>
    <t>Fixed-price civil contracts; contingency (5% on equipment is already included)</t>
  </si>
  <si>
    <t>Land value falls</t>
  </si>
  <si>
    <t>Land value change (Assumptions)</t>
  </si>
  <si>
    <t>Land is already taken 10% below cost when the project value is recovered</t>
  </si>
  <si>
    <t>Receivable delays</t>
  </si>
  <si>
    <t>Working Capital tab</t>
  </si>
  <si>
    <t>Credit limits; advance on bulk orders</t>
  </si>
  <si>
    <t>Each row changes one thing against the base case. Break-even is live.</t>
  </si>
  <si>
    <t>One-way sensitivities (saved results)</t>
  </si>
  <si>
    <t>Case</t>
  </si>
  <si>
    <t>NPV incl. recovery</t>
  </si>
  <si>
    <t>NPV, 5 years only</t>
  </si>
  <si>
    <t>IRR incl. recovery</t>
  </si>
  <si>
    <t>Minimum DSCR</t>
  </si>
  <si>
    <t>Selling price -10%</t>
  </si>
  <si>
    <t>Selling price +10%</t>
  </si>
  <si>
    <t>Volume (yield) -20%</t>
  </si>
  <si>
    <t>Volume (yield) -10%</t>
  </si>
  <si>
    <t>Feed price +10%</t>
  </si>
  <si>
    <t>Capital cost +10%</t>
  </si>
  <si>
    <t>Interest rate +2 percentage points</t>
  </si>
  <si>
    <t>No yearly price increase (0%)</t>
  </si>
  <si>
    <t>Land recovery value 20% below cost</t>
  </si>
  <si>
    <t>Cost of equity 25%</t>
  </si>
  <si>
    <t>Project NPV incl. recovery: selling price change (down) against feed price change (across)</t>
  </si>
  <si>
    <t>Price change \ Feed change</t>
  </si>
  <si>
    <t>-10%</t>
  </si>
  <si>
    <t>+0%</t>
  </si>
  <si>
    <t>+10%</t>
  </si>
  <si>
    <t>+20%</t>
  </si>
  <si>
    <t>-20%</t>
  </si>
  <si>
    <t>These are pasted results of model runs. They do not update when inputs change.</t>
  </si>
  <si>
    <t>Break-even (live)</t>
  </si>
  <si>
    <t>Variable costs (direct costs, variable overheads, marketing, selling)</t>
  </si>
  <si>
    <t>Fixed cash costs (administrative, distribution)</t>
  </si>
  <si>
    <t>Break-even revenue (profit = 0)</t>
  </si>
  <si>
    <t>Margin of safety (revenue above break-even)</t>
  </si>
  <si>
    <t>Cash break-even revenue (covers cash costs and debt service)</t>
  </si>
  <si>
    <t>Revenue fall the project can absorb before cash break-even</t>
  </si>
  <si>
    <t>Years 2 to 5 (Year 1 is a part year). Uses the active scenario; tax and working capital are ignored.</t>
  </si>
  <si>
    <t>Model Integrity Checks</t>
  </si>
  <si>
    <t>Every line should read OK. ERROR means a link or an input needs attention.</t>
  </si>
  <si>
    <t>Check</t>
  </si>
  <si>
    <t>Balance sheet balances in every year</t>
  </si>
  <si>
    <t>Sources of funds equal uses of funds</t>
  </si>
  <si>
    <t>Term loan is fully repaid by the end of the tenor</t>
  </si>
  <si>
    <t>Retained earnings equal cumulative profit less dividends</t>
  </si>
  <si>
    <t>Tax loss balance is never negative</t>
  </si>
  <si>
    <t>Net book value of fixed assets is never negative</t>
  </si>
  <si>
    <t>Segment profit before tax adds up to the Income Statement</t>
  </si>
  <si>
    <t>Segment revenue adds up to the Income Statement</t>
  </si>
  <si>
    <t>Month-wise revenue adds up to the annual revenue on the Farming and Hatchery sheets</t>
  </si>
  <si>
    <t>Asset list total equals Year 0 capital expenditure (when capital factor is 1)</t>
  </si>
  <si>
    <t>Operations revenue equals Farming plus Hatchery revenue (Year 2, after scenario factors)</t>
  </si>
  <si>
    <t>Cash Flow Generated on the Cash Flow sheet reconciles to operations plus investing in every year</t>
  </si>
  <si>
    <t>Direct method cash flow equals the indirect method in every year</t>
  </si>
  <si>
    <t>Hatchery share is between 0% and 100%</t>
  </si>
  <si>
    <t>Dividends never exceed profit after tax</t>
  </si>
  <si>
    <t>Overall model status</t>
  </si>
  <si>
    <t>Information (not integrity checks)</t>
  </si>
  <si>
    <t>Owner equity injected after Year 0 to keep minimum cash (BDT)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</si>
</sst>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;\(#,##0.0\);\-"/>
    <numFmt numFmtId="165" formatCode="0.0%;\(0.0%\);\-"/>
    <numFmt numFmtId="166" formatCode="0.00&quot; yrs&quot;"/>
    <numFmt numFmtId="167" formatCode="0.00\x"/>
    <numFmt numFmtId="168" formatCode="0.0\x"/>
    <numFmt numFmtId="169" formatCode="#,##0;\(#,##0\);\-"/>
    <numFmt numFmtId="170" formatCode="0.0"/>
    <numFmt numFmtId="171" formatCode="_(* #,##0_);_(* \(#,##0\);_(* \-??_);_(@_)"/>
    <numFmt numFmtId="172" formatCode="_(* #,##0.00_);_(* \(#,##0.00\);_(* \-??_);_(@_)"/>
    <numFmt numFmtId="173" formatCode="_(* #,##0.0_);_(* \(#,##0.0\);_(* \-?_);_(@_)"/>
    <numFmt numFmtId="174" formatCode="&quot;Year &quot;0"/>
    <numFmt numFmtId="175" formatCode="#,##0,;\(#,##0,\);\-"/>
    <numFmt numFmtId="176" formatCode="0.000"/>
  </numFmts>
  <fonts count="36" x14ac:knownFonts="1">
    <font>
      <sz val="11"/>
      <color theme="1"/>
      <name val="Calibri"/>
      <family val="2"/>
      <charset val="1"/>
    </font>
    <font>
      <b/>
      <sz val="20"/>
      <color rgb="FF1F3A5F"/>
      <name val="Arial"/>
      <charset val="1"/>
    </font>
    <font>
      <sz val="13"/>
      <color rgb="FF3B6EA5"/>
      <name val="Arial"/>
      <charset val="1"/>
    </font>
    <font>
      <b/>
      <sz val="10"/>
      <color rgb="FF3B6EA5"/>
      <name val="Arial"/>
      <charset val="1"/>
    </font>
    <font>
      <b/>
      <sz val="11"/>
      <color rgb="FFFFFFFF"/>
      <name val="Arial"/>
      <charset val="1"/>
    </font>
    <font>
      <b/>
      <sz val="10"/>
      <color rgb="FF1F3A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6100"/>
      <name val="Arial"/>
      <charset val="1"/>
    </font>
    <font>
      <b/>
      <sz val="10"/>
      <color rgb="FF006100"/>
      <name val="Arial"/>
      <charset val="1"/>
    </font>
    <font>
      <i/>
      <sz val="8"/>
      <color rgb="FF595959"/>
      <name val="Arial"/>
      <charset val="1"/>
    </font>
    <font>
      <u/>
      <sz val="10"/>
      <color rgb="FF0563C1"/>
      <name val="Arial"/>
      <charset val="1"/>
    </font>
    <font>
      <b/>
      <sz val="16"/>
      <color rgb="FF1F3A5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b/>
      <sz val="2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0000FF"/>
      <name val="Calibri"/>
      <charset val="1"/>
    </font>
    <font>
      <i/>
      <sz val="11"/>
      <name val="Calibri"/>
      <charset val="1"/>
    </font>
    <font>
      <b/>
      <sz val="12"/>
      <color rgb="FF1F3A5F"/>
      <name val="Arial"/>
      <charset val="1"/>
    </font>
    <font>
      <sz val="10"/>
      <name val="Arial"/>
      <family val="2"/>
    </font>
    <font>
      <b/>
      <sz val="11"/>
      <color rgb="FF0000FF"/>
      <name val="Calibri"/>
      <charset val="1"/>
    </font>
    <font>
      <b/>
      <sz val="11"/>
      <name val="Calibri"/>
      <family val="2"/>
      <charset val="1"/>
    </font>
    <font>
      <sz val="9"/>
      <color rgb="FF006100"/>
      <name val="Arial"/>
      <charset val="1"/>
    </font>
    <font>
      <b/>
      <u/>
      <sz val="11"/>
      <color theme="1"/>
      <name val="Calibri"/>
      <family val="2"/>
      <charset val="1"/>
    </font>
    <font>
      <b/>
      <sz val="9"/>
      <color rgb="FF1F3A5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8E1"/>
        <bgColor rgb="FFFFFFFF"/>
      </patternFill>
    </fill>
    <fill>
      <patternFill patternType="solid">
        <fgColor rgb="FFEEF2F7"/>
        <bgColor rgb="FFFFF8E1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F3A5F"/>
      </bottom>
      <diagonal/>
    </border>
    <border>
      <left/>
      <right/>
      <top style="thin">
        <color rgb="FF9AA5B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9AA5B5"/>
      </top>
      <bottom style="thin">
        <color rgb="FF9AA5B5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9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0" fillId="0" borderId="1" xfId="0" applyBorder="1"/>
    <xf numFmtId="0" fontId="6" fillId="0" borderId="2" xfId="0" applyFont="1" applyBorder="1"/>
    <xf numFmtId="164" fontId="6" fillId="0" borderId="2" xfId="0" applyNumberFormat="1" applyFont="1" applyBorder="1" applyAlignment="1">
      <alignment horizontal="right"/>
    </xf>
    <xf numFmtId="0" fontId="7" fillId="0" borderId="0" xfId="0" applyFont="1" applyAlignment="1">
      <alignment indent="1"/>
    </xf>
    <xf numFmtId="164" fontId="8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indent="1"/>
    </xf>
    <xf numFmtId="164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5" fillId="0" borderId="0" xfId="0" applyFont="1"/>
    <xf numFmtId="164" fontId="8" fillId="0" borderId="0" xfId="0" applyNumberFormat="1" applyFont="1"/>
    <xf numFmtId="167" fontId="8" fillId="0" borderId="0" xfId="0" applyNumberFormat="1" applyFont="1" applyAlignment="1">
      <alignment horizontal="right"/>
    </xf>
    <xf numFmtId="0" fontId="7" fillId="0" borderId="0" xfId="0" applyFont="1"/>
    <xf numFmtId="49" fontId="8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7" fillId="0" borderId="0" xfId="0" applyFont="1" applyAlignment="1">
      <alignment indent="2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/>
    <xf numFmtId="0" fontId="15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16" fillId="0" borderId="0" xfId="0" applyFont="1"/>
    <xf numFmtId="1" fontId="17" fillId="3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165" fontId="17" fillId="3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169" fontId="17" fillId="3" borderId="0" xfId="0" applyNumberFormat="1" applyFont="1" applyFill="1" applyAlignment="1">
      <alignment horizontal="right"/>
    </xf>
    <xf numFmtId="167" fontId="17" fillId="3" borderId="0" xfId="0" applyNumberFormat="1" applyFont="1" applyFill="1" applyAlignment="1">
      <alignment horizontal="right"/>
    </xf>
    <xf numFmtId="169" fontId="7" fillId="0" borderId="0" xfId="0" applyNumberFormat="1" applyFont="1" applyAlignment="1">
      <alignment horizontal="right"/>
    </xf>
    <xf numFmtId="170" fontId="17" fillId="3" borderId="0" xfId="0" applyNumberFormat="1" applyFont="1" applyFill="1" applyAlignment="1">
      <alignment horizontal="right"/>
    </xf>
    <xf numFmtId="0" fontId="18" fillId="0" borderId="0" xfId="0" applyFont="1"/>
    <xf numFmtId="0" fontId="19" fillId="0" borderId="0" xfId="0" applyFont="1"/>
    <xf numFmtId="0" fontId="20" fillId="0" borderId="3" xfId="0" applyFont="1" applyBorder="1" applyAlignment="1">
      <alignment horizontal="center" vertical="top"/>
    </xf>
    <xf numFmtId="0" fontId="20" fillId="0" borderId="3" xfId="0" applyFont="1" applyBorder="1" applyAlignment="1">
      <alignment horizontal="center" vertical="top" wrapText="1"/>
    </xf>
    <xf numFmtId="0" fontId="21" fillId="0" borderId="3" xfId="0" applyFont="1" applyBorder="1"/>
    <xf numFmtId="171" fontId="22" fillId="0" borderId="3" xfId="0" applyNumberFormat="1" applyFont="1" applyBorder="1" applyAlignment="1">
      <alignment horizontal="center" vertical="center"/>
    </xf>
    <xf numFmtId="171" fontId="22" fillId="0" borderId="3" xfId="0" applyNumberFormat="1" applyFont="1" applyBorder="1"/>
    <xf numFmtId="4" fontId="0" fillId="0" borderId="3" xfId="0" applyNumberFormat="1" applyBorder="1" applyAlignment="1">
      <alignment horizontal="center" vertical="center"/>
    </xf>
    <xf numFmtId="0" fontId="0" fillId="0" borderId="3" xfId="0" applyBorder="1"/>
    <xf numFmtId="171" fontId="0" fillId="0" borderId="3" xfId="0" applyNumberFormat="1" applyBorder="1" applyAlignment="1">
      <alignment horizontal="center" vertical="center"/>
    </xf>
    <xf numFmtId="171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19" fillId="0" borderId="3" xfId="0" applyFont="1" applyBorder="1"/>
    <xf numFmtId="171" fontId="23" fillId="0" borderId="3" xfId="0" applyNumberFormat="1" applyFont="1" applyBorder="1" applyAlignment="1">
      <alignment horizontal="center"/>
    </xf>
    <xf numFmtId="171" fontId="20" fillId="0" borderId="3" xfId="0" applyNumberFormat="1" applyFont="1" applyBorder="1" applyAlignment="1">
      <alignment horizontal="center"/>
    </xf>
    <xf numFmtId="171" fontId="24" fillId="0" borderId="3" xfId="0" applyNumberFormat="1" applyFont="1" applyBorder="1" applyAlignment="1">
      <alignment horizontal="center"/>
    </xf>
    <xf numFmtId="171" fontId="21" fillId="0" borderId="3" xfId="0" applyNumberFormat="1" applyFont="1" applyBorder="1" applyAlignment="1">
      <alignment horizontal="center"/>
    </xf>
    <xf numFmtId="171" fontId="23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171" fontId="26" fillId="0" borderId="3" xfId="0" applyNumberFormat="1" applyFont="1" applyBorder="1"/>
    <xf numFmtId="172" fontId="26" fillId="0" borderId="3" xfId="0" applyNumberFormat="1" applyFont="1" applyBorder="1"/>
    <xf numFmtId="0" fontId="0" fillId="0" borderId="4" xfId="0" applyBorder="1"/>
    <xf numFmtId="171" fontId="25" fillId="0" borderId="3" xfId="0" applyNumberFormat="1" applyFont="1" applyBorder="1"/>
    <xf numFmtId="172" fontId="19" fillId="0" borderId="3" xfId="0" applyNumberFormat="1" applyFont="1" applyBorder="1"/>
    <xf numFmtId="0" fontId="19" fillId="0" borderId="4" xfId="0" applyFont="1" applyBorder="1"/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/>
    <xf numFmtId="0" fontId="26" fillId="0" borderId="0" xfId="0" applyFont="1"/>
    <xf numFmtId="171" fontId="22" fillId="0" borderId="0" xfId="0" applyNumberFormat="1" applyFont="1"/>
    <xf numFmtId="171" fontId="19" fillId="0" borderId="0" xfId="0" applyNumberFormat="1" applyFont="1"/>
    <xf numFmtId="172" fontId="22" fillId="0" borderId="3" xfId="0" applyNumberFormat="1" applyFont="1" applyBorder="1"/>
    <xf numFmtId="3" fontId="7" fillId="0" borderId="0" xfId="0" applyNumberFormat="1" applyFont="1" applyAlignment="1">
      <alignment horizontal="right"/>
    </xf>
    <xf numFmtId="4" fontId="7" fillId="0" borderId="3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171" fontId="19" fillId="0" borderId="3" xfId="0" applyNumberFormat="1" applyFont="1" applyBorder="1"/>
    <xf numFmtId="3" fontId="6" fillId="0" borderId="2" xfId="0" applyNumberFormat="1" applyFont="1" applyBorder="1" applyAlignment="1">
      <alignment horizontal="right"/>
    </xf>
    <xf numFmtId="0" fontId="27" fillId="0" borderId="0" xfId="0" applyFont="1"/>
    <xf numFmtId="9" fontId="26" fillId="0" borderId="0" xfId="0" applyNumberFormat="1" applyFont="1"/>
    <xf numFmtId="0" fontId="28" fillId="0" borderId="0" xfId="0" applyFont="1"/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4" fontId="17" fillId="3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17" fontId="14" fillId="2" borderId="0" xfId="0" applyNumberFormat="1" applyFont="1" applyFill="1" applyAlignment="1">
      <alignment horizontal="center" vertical="center"/>
    </xf>
    <xf numFmtId="0" fontId="15" fillId="0" borderId="0" xfId="0" applyFont="1"/>
    <xf numFmtId="3" fontId="6" fillId="0" borderId="0" xfId="0" applyNumberFormat="1" applyFont="1" applyAlignment="1">
      <alignment horizontal="right"/>
    </xf>
    <xf numFmtId="169" fontId="6" fillId="0" borderId="2" xfId="0" applyNumberFormat="1" applyFont="1" applyBorder="1" applyAlignment="1">
      <alignment horizontal="right"/>
    </xf>
    <xf numFmtId="3" fontId="17" fillId="3" borderId="0" xfId="0" applyNumberFormat="1" applyFont="1" applyFill="1" applyAlignment="1">
      <alignment horizontal="right"/>
    </xf>
    <xf numFmtId="0" fontId="20" fillId="0" borderId="3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/>
    </xf>
    <xf numFmtId="0" fontId="20" fillId="0" borderId="3" xfId="0" applyFont="1" applyBorder="1"/>
    <xf numFmtId="0" fontId="21" fillId="0" borderId="0" xfId="0" applyFont="1"/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/>
    </xf>
    <xf numFmtId="4" fontId="0" fillId="0" borderId="0" xfId="0" applyNumberFormat="1" applyAlignment="1">
      <alignment horizontal="center" vertical="center"/>
    </xf>
    <xf numFmtId="0" fontId="20" fillId="0" borderId="0" xfId="0" applyFont="1"/>
    <xf numFmtId="0" fontId="30" fillId="0" borderId="3" xfId="0" applyFont="1" applyBorder="1"/>
    <xf numFmtId="4" fontId="22" fillId="0" borderId="3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171" fontId="26" fillId="0" borderId="4" xfId="0" applyNumberFormat="1" applyFont="1" applyBorder="1"/>
    <xf numFmtId="171" fontId="22" fillId="0" borderId="4" xfId="0" applyNumberFormat="1" applyFont="1" applyBorder="1"/>
    <xf numFmtId="0" fontId="26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/>
    </xf>
    <xf numFmtId="171" fontId="26" fillId="0" borderId="3" xfId="0" applyNumberFormat="1" applyFont="1" applyBorder="1" applyAlignment="1">
      <alignment vertical="center" wrapText="1"/>
    </xf>
    <xf numFmtId="0" fontId="30" fillId="0" borderId="3" xfId="0" applyFont="1" applyBorder="1" applyAlignment="1">
      <alignment horizontal="center" vertical="center" wrapText="1"/>
    </xf>
    <xf numFmtId="173" fontId="25" fillId="0" borderId="3" xfId="0" applyNumberFormat="1" applyFont="1" applyBorder="1" applyAlignment="1">
      <alignment horizontal="center" vertical="center" wrapText="1"/>
    </xf>
    <xf numFmtId="172" fontId="0" fillId="0" borderId="3" xfId="0" applyNumberFormat="1" applyBorder="1"/>
    <xf numFmtId="171" fontId="0" fillId="0" borderId="4" xfId="0" applyNumberFormat="1" applyBorder="1"/>
    <xf numFmtId="171" fontId="19" fillId="0" borderId="4" xfId="0" applyNumberFormat="1" applyFont="1" applyBorder="1"/>
    <xf numFmtId="173" fontId="22" fillId="0" borderId="3" xfId="0" applyNumberFormat="1" applyFont="1" applyBorder="1"/>
    <xf numFmtId="173" fontId="19" fillId="0" borderId="3" xfId="0" applyNumberFormat="1" applyFont="1" applyBorder="1"/>
    <xf numFmtId="171" fontId="31" fillId="0" borderId="3" xfId="0" applyNumberFormat="1" applyFont="1" applyBorder="1"/>
    <xf numFmtId="172" fontId="31" fillId="0" borderId="3" xfId="0" applyNumberFormat="1" applyFont="1" applyBorder="1"/>
    <xf numFmtId="3" fontId="8" fillId="0" borderId="0" xfId="0" applyNumberFormat="1" applyFont="1" applyAlignment="1">
      <alignment horizontal="right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174" fontId="14" fillId="2" borderId="0" xfId="0" applyNumberFormat="1" applyFont="1" applyFill="1" applyAlignment="1">
      <alignment horizontal="center"/>
    </xf>
    <xf numFmtId="0" fontId="5" fillId="4" borderId="0" xfId="0" applyFont="1" applyFill="1"/>
    <xf numFmtId="0" fontId="0" fillId="4" borderId="0" xfId="0" applyFill="1"/>
    <xf numFmtId="175" fontId="8" fillId="0" borderId="0" xfId="0" applyNumberFormat="1" applyFont="1" applyAlignment="1">
      <alignment horizontal="right"/>
    </xf>
    <xf numFmtId="0" fontId="15" fillId="0" borderId="2" xfId="0" applyFont="1" applyBorder="1" applyAlignment="1">
      <alignment horizontal="center"/>
    </xf>
    <xf numFmtId="175" fontId="6" fillId="0" borderId="2" xfId="0" applyNumberFormat="1" applyFont="1" applyBorder="1" applyAlignment="1">
      <alignment horizontal="right"/>
    </xf>
    <xf numFmtId="175" fontId="7" fillId="0" borderId="0" xfId="0" applyNumberFormat="1" applyFont="1" applyAlignment="1">
      <alignment horizontal="right"/>
    </xf>
    <xf numFmtId="9" fontId="32" fillId="0" borderId="0" xfId="0" applyNumberFormat="1" applyFont="1" applyAlignment="1">
      <alignment horizontal="center"/>
    </xf>
    <xf numFmtId="0" fontId="33" fillId="0" borderId="0" xfId="0" applyFont="1"/>
    <xf numFmtId="172" fontId="0" fillId="0" borderId="0" xfId="0" applyNumberFormat="1"/>
    <xf numFmtId="172" fontId="19" fillId="0" borderId="3" xfId="0" applyNumberFormat="1" applyFont="1" applyBorder="1" applyAlignment="1">
      <alignment horizontal="center" vertical="center"/>
    </xf>
    <xf numFmtId="0" fontId="26" fillId="0" borderId="3" xfId="0" applyFont="1" applyBorder="1"/>
    <xf numFmtId="9" fontId="26" fillId="0" borderId="3" xfId="0" applyNumberFormat="1" applyFont="1" applyBorder="1"/>
    <xf numFmtId="171" fontId="25" fillId="0" borderId="0" xfId="0" applyNumberFormat="1" applyFont="1"/>
    <xf numFmtId="0" fontId="34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168" fontId="17" fillId="3" borderId="0" xfId="0" applyNumberFormat="1" applyFont="1" applyFill="1" applyAlignment="1">
      <alignment horizontal="right"/>
    </xf>
    <xf numFmtId="0" fontId="0" fillId="0" borderId="2" xfId="0" applyBorder="1"/>
    <xf numFmtId="9" fontId="17" fillId="3" borderId="0" xfId="0" applyNumberFormat="1" applyFont="1" applyFill="1" applyAlignment="1">
      <alignment horizontal="right"/>
    </xf>
    <xf numFmtId="1" fontId="6" fillId="0" borderId="2" xfId="0" applyNumberFormat="1" applyFont="1" applyBorder="1" applyAlignment="1">
      <alignment horizontal="right"/>
    </xf>
    <xf numFmtId="1" fontId="0" fillId="0" borderId="0" xfId="0" applyNumberFormat="1"/>
    <xf numFmtId="165" fontId="6" fillId="0" borderId="9" xfId="0" applyNumberFormat="1" applyFont="1" applyBorder="1" applyAlignment="1">
      <alignment horizontal="right"/>
    </xf>
    <xf numFmtId="176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69" fontId="8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6" fillId="0" borderId="0" xfId="0" applyFont="1"/>
    <xf numFmtId="1" fontId="8" fillId="0" borderId="0" xfId="0" applyNumberFormat="1" applyFont="1" applyAlignment="1">
      <alignment horizontal="right"/>
    </xf>
    <xf numFmtId="0" fontId="14" fillId="2" borderId="0" xfId="0" applyFont="1" applyFill="1" applyAlignment="1">
      <alignment horizontal="left" vertical="center" wrapText="1"/>
    </xf>
    <xf numFmtId="17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35" fillId="0" borderId="0" xfId="0" applyFont="1"/>
    <xf numFmtId="165" fontId="32" fillId="0" borderId="0" xfId="0" applyNumberFormat="1" applyFont="1" applyAlignment="1">
      <alignment horizontal="right"/>
    </xf>
    <xf numFmtId="0" fontId="9" fillId="0" borderId="0" xfId="0" applyFont="1"/>
    <xf numFmtId="0" fontId="35" fillId="0" borderId="0" xfId="0" applyFont="1" applyAlignment="1">
      <alignment vertical="top" wrapText="1"/>
    </xf>
    <xf numFmtId="16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4" fillId="2" borderId="0" xfId="0" applyFont="1" applyFill="1" applyAlignment="1">
      <alignment horizontal="center" vertical="center"/>
    </xf>
    <xf numFmtId="0" fontId="16" fillId="0" borderId="0" xfId="0" applyFont="1" applyAlignment="1">
      <alignment vertical="top" wrapText="1"/>
    </xf>
    <xf numFmtId="0" fontId="19" fillId="0" borderId="3" xfId="0" applyFont="1" applyBorder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20" fillId="0" borderId="3" xfId="0" applyFont="1" applyBorder="1" applyAlignment="1">
      <alignment horizontal="center" wrapText="1"/>
    </xf>
    <xf numFmtId="0" fontId="20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35" fillId="0" borderId="0" xfId="0" applyFont="1" applyAlignment="1">
      <alignment vertical="top" wrapText="1"/>
    </xf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C00000"/>
      </font>
    </dxf>
    <dxf>
      <font>
        <b/>
        <color rgb="FFC00000"/>
      </font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3B6EA5"/>
      <rgbColor rgb="FF9AA5B5"/>
      <rgbColor rgb="FF808080"/>
      <rgbColor rgb="FF8EA9DB"/>
      <rgbColor rgb="FF7030A0"/>
      <rgbColor rgb="FFFFF8E1"/>
      <rgbColor rgb="FFEEF2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B0F0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BF9000"/>
      <rgbColor rgb="FFC55A22"/>
      <rgbColor rgb="FF595959"/>
      <rgbColor rgb="FF878787"/>
      <rgbColor rgb="FF1F3A5F"/>
      <rgbColor rgb="FF548235"/>
      <rgbColor rgb="FF003300"/>
      <rgbColor rgb="FF333300"/>
      <rgbColor rgb="FF993300"/>
      <rgbColor rgb="FF7F7F7F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Revenue, COGS and net profit (BDT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Dashboard!$C$6:$G$6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Dashboard!$C$7:$G$7</c:f>
              <c:numCache>
                <c:formatCode>#,##0.0;\(#,##0.0\);\-</c:formatCode>
                <c:ptCount val="5"/>
                <c:pt idx="0">
                  <c:v>12.08</c:v>
                </c:pt>
                <c:pt idx="1">
                  <c:v>49.717500000000001</c:v>
                </c:pt>
                <c:pt idx="2">
                  <c:v>66.811499999999995</c:v>
                </c:pt>
                <c:pt idx="3">
                  <c:v>83.059593750000005</c:v>
                </c:pt>
                <c:pt idx="4">
                  <c:v>75.543713437500017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7-40D4-BE07-57F47985207F}"/>
            </c:ext>
          </c:extLst>
        </c:ser>
        <c:ser>
          <c:idx val="1"/>
          <c:order val="1"/>
          <c:tx>
            <c:v>Cost of goods sold</c:v>
          </c:tx>
          <c:spPr>
            <a:solidFill>
              <a:srgbClr val="C55A2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Dashboard!$C$6:$G$6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Dashboard!$C$9:$G$9</c:f>
              <c:numCache>
                <c:formatCode>#,##0.0;\(#,##0.0\);\-</c:formatCode>
                <c:ptCount val="5"/>
                <c:pt idx="0">
                  <c:v>8.6813340084008406</c:v>
                </c:pt>
                <c:pt idx="1">
                  <c:v>22.562345522052205</c:v>
                </c:pt>
                <c:pt idx="2">
                  <c:v>29.776101727047703</c:v>
                </c:pt>
                <c:pt idx="3">
                  <c:v>30.865271813400092</c:v>
                </c:pt>
                <c:pt idx="4">
                  <c:v>32.009686904070101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7-40D4-BE07-57F47985207F}"/>
            </c:ext>
          </c:extLst>
        </c:ser>
        <c:ser>
          <c:idx val="2"/>
          <c:order val="2"/>
          <c:tx>
            <c:v>Net profit</c:v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Dashboard!$C$6:$G$6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Dashboard!$C$16:$G$16</c:f>
              <c:numCache>
                <c:formatCode>#,##0.0;\(#,##0.0\);\-</c:formatCode>
                <c:ptCount val="5"/>
                <c:pt idx="0">
                  <c:v>-5.0542957304008409</c:v>
                </c:pt>
                <c:pt idx="1">
                  <c:v>13.182112698922381</c:v>
                </c:pt>
                <c:pt idx="2">
                  <c:v>18.077890902115413</c:v>
                </c:pt>
                <c:pt idx="3">
                  <c:v>28.39636767749743</c:v>
                </c:pt>
                <c:pt idx="4">
                  <c:v>23.168060022452316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7-40D4-BE07-57F479852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85612"/>
        <c:axId val="65393525"/>
      </c:barChart>
      <c:catAx>
        <c:axId val="26185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93525"/>
        <c:crosses val="autoZero"/>
        <c:auto val="1"/>
        <c:lblAlgn val="ctr"/>
        <c:lblOffset val="100"/>
        <c:noMultiLvlLbl val="0"/>
      </c:catAx>
      <c:valAx>
        <c:axId val="65393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856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412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Dashboard!$C$6:$G$6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Dashboard!$C$11:$G$11</c:f>
              <c:numCache>
                <c:formatCode>0.0%;\(0.0%\);\-</c:formatCode>
                <c:ptCount val="5"/>
                <c:pt idx="0">
                  <c:v>0.28134652248337411</c:v>
                </c:pt>
                <c:pt idx="1">
                  <c:v>0.54618905773515958</c:v>
                </c:pt>
                <c:pt idx="2">
                  <c:v>0.55432669933996837</c:v>
                </c:pt>
                <c:pt idx="3">
                  <c:v>0.62839606576573115</c:v>
                </c:pt>
                <c:pt idx="4">
                  <c:v>0.576275967284123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6-4A40-97D0-60E1F607B07E}"/>
            </c:ext>
          </c:extLst>
        </c:ser>
        <c:ser>
          <c:idx val="1"/>
          <c:order val="1"/>
          <c:tx>
            <c:v>EBITDA margin</c:v>
          </c:tx>
          <c:spPr>
            <a:ln w="24120">
              <a:solidFill>
                <a:srgbClr val="3B6E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Dashboard!$C$6:$G$6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Dashboard!$C$14:$G$14</c:f>
              <c:numCache>
                <c:formatCode>0.0%;\(0.0%\);\-</c:formatCode>
                <c:ptCount val="5"/>
                <c:pt idx="0">
                  <c:v>6.5572515860857564E-2</c:v>
                </c:pt>
                <c:pt idx="1">
                  <c:v>0.44474258516513893</c:v>
                </c:pt>
                <c:pt idx="2">
                  <c:v>0.45343316678943441</c:v>
                </c:pt>
                <c:pt idx="3">
                  <c:v>0.5278143820574599</c:v>
                </c:pt>
                <c:pt idx="4">
                  <c:v>0.47577361564692955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6-4A40-97D0-60E1F607B07E}"/>
            </c:ext>
          </c:extLst>
        </c:ser>
        <c:ser>
          <c:idx val="2"/>
          <c:order val="2"/>
          <c:tx>
            <c:v>Net profit margin</c:v>
          </c:tx>
          <c:spPr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Dashboard!$C$6:$G$6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Dashboard!$C$17:$G$17</c:f>
              <c:numCache>
                <c:formatCode>0.0%;\(0.0%\);\-</c:formatCode>
                <c:ptCount val="5"/>
                <c:pt idx="0">
                  <c:v>-0.41840196443715572</c:v>
                </c:pt>
                <c:pt idx="1">
                  <c:v>0.2651402966545458</c:v>
                </c:pt>
                <c:pt idx="2">
                  <c:v>0.2705805273360935</c:v>
                </c:pt>
                <c:pt idx="3">
                  <c:v>0.34187944336649773</c:v>
                </c:pt>
                <c:pt idx="4">
                  <c:v>0.3066841563410842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56-4A40-97D0-60E1F607B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03234"/>
        <c:axId val="10705030"/>
      </c:lineChart>
      <c:catAx>
        <c:axId val="6503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05030"/>
        <c:crosses val="autoZero"/>
        <c:auto val="1"/>
        <c:lblAlgn val="ctr"/>
        <c:lblOffset val="100"/>
        <c:noMultiLvlLbl val="0"/>
      </c:catAx>
      <c:valAx>
        <c:axId val="10705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32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cash flow (BDT)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 cash flow</c:v>
          </c:tx>
          <c:spPr>
            <a:solidFill>
              <a:srgbClr val="3B6E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'Investment Analysis'!$D$5:$I$5</c:f>
              <c:numCache>
                <c:formatCode>"Year "0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'Investment Analysis'!$D$23:$I$23</c:f>
              <c:numCache>
                <c:formatCode>#,##0,;\(#,##0,\);\-</c:formatCode>
                <c:ptCount val="6"/>
                <c:pt idx="0">
                  <c:v>-45792242.200000003</c:v>
                </c:pt>
                <c:pt idx="1">
                  <c:v>-1627829.3248502938</c:v>
                </c:pt>
                <c:pt idx="2">
                  <c:v>6504717.8362441165</c:v>
                </c:pt>
                <c:pt idx="3">
                  <c:v>20279930.754713073</c:v>
                </c:pt>
                <c:pt idx="4">
                  <c:v>31176724.71704293</c:v>
                </c:pt>
                <c:pt idx="5">
                  <c:v>27394548.405102797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7-4DAD-AD38-326014C6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46431"/>
        <c:axId val="96610220"/>
      </c:barChart>
      <c:lineChart>
        <c:grouping val="standard"/>
        <c:varyColors val="0"/>
        <c:ser>
          <c:idx val="1"/>
          <c:order val="1"/>
          <c:tx>
            <c:v>Cumulative cash flow</c:v>
          </c:tx>
          <c:spPr>
            <a:ln w="28080">
              <a:solidFill>
                <a:srgbClr val="C55A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'Investment Analysis'!$D$5:$I$5</c:f>
              <c:numCache>
                <c:formatCode>"Year "0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'Investment Analysis'!$D$24:$I$24</c:f>
              <c:numCache>
                <c:formatCode>#,##0,;\(#,##0,\);\-</c:formatCode>
                <c:ptCount val="6"/>
                <c:pt idx="0">
                  <c:v>-45792242.200000003</c:v>
                </c:pt>
                <c:pt idx="1">
                  <c:v>-47420071.524850294</c:v>
                </c:pt>
                <c:pt idx="2">
                  <c:v>-40915353.68860618</c:v>
                </c:pt>
                <c:pt idx="3">
                  <c:v>-20635422.933893107</c:v>
                </c:pt>
                <c:pt idx="4">
                  <c:v>10541301.783149824</c:v>
                </c:pt>
                <c:pt idx="5">
                  <c:v>37935850.18825262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7-4DAD-AD38-326014C67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346431"/>
        <c:axId val="96610220"/>
      </c:lineChart>
      <c:catAx>
        <c:axId val="69346431"/>
        <c:scaling>
          <c:orientation val="minMax"/>
        </c:scaling>
        <c:delete val="0"/>
        <c:axPos val="b"/>
        <c:numFmt formatCode="&quot;Year &quot;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10220"/>
        <c:crosses val="autoZero"/>
        <c:auto val="1"/>
        <c:lblAlgn val="ctr"/>
        <c:lblOffset val="100"/>
        <c:noMultiLvlLbl val="0"/>
      </c:catAx>
      <c:valAx>
        <c:axId val="96610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46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Debt Service Coverage Ratio (DSCR)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'Loan Analysis'!$E$4:$I$4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'Loan Analysis'!$E$18:$I$18</c:f>
              <c:numCache>
                <c:formatCode>0.00\x</c:formatCode>
                <c:ptCount val="5"/>
                <c:pt idx="0">
                  <c:v>0</c:v>
                </c:pt>
                <c:pt idx="1">
                  <c:v>1.6116528019856233</c:v>
                </c:pt>
                <c:pt idx="2">
                  <c:v>2.6779015461241387</c:v>
                </c:pt>
                <c:pt idx="3">
                  <c:v>4.4456763570558602</c:v>
                </c:pt>
                <c:pt idx="4">
                  <c:v>4.3025755453925507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3-42E5-A969-C5D647F1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09215"/>
        <c:axId val="26432386"/>
      </c:barChart>
      <c:catAx>
        <c:axId val="1690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432386"/>
        <c:crosses val="autoZero"/>
        <c:auto val="1"/>
        <c:lblAlgn val="ctr"/>
        <c:lblOffset val="100"/>
        <c:noMultiLvlLbl val="0"/>
      </c:catAx>
      <c:valAx>
        <c:axId val="26432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09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Cash conversion cycle (days, Year 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'Working Capital'!$B$29:$B$32</c:f>
              <c:strCache>
                <c:ptCount val="4"/>
                <c:pt idx="0">
                  <c:v>DSO</c:v>
                </c:pt>
                <c:pt idx="1">
                  <c:v>DIO</c:v>
                </c:pt>
                <c:pt idx="2">
                  <c:v>DPO</c:v>
                </c:pt>
                <c:pt idx="3">
                  <c:v>Cycle</c:v>
                </c:pt>
              </c:strCache>
            </c:strRef>
          </c:cat>
          <c:val>
            <c:numRef>
              <c:f>'Working Capital'!$D$29:$D$32</c:f>
              <c:numCache>
                <c:formatCode>0</c:formatCode>
                <c:ptCount val="4"/>
                <c:pt idx="0">
                  <c:v>30</c:v>
                </c:pt>
                <c:pt idx="1">
                  <c:v>90</c:v>
                </c:pt>
                <c:pt idx="2">
                  <c:v>30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1-469D-8BC4-8EB6E9B2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10298"/>
        <c:axId val="45959860"/>
      </c:barChart>
      <c:catAx>
        <c:axId val="778102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59860"/>
        <c:crosses val="autoZero"/>
        <c:auto val="1"/>
        <c:lblAlgn val="ctr"/>
        <c:lblOffset val="100"/>
        <c:noMultiLvlLbl val="0"/>
      </c:catAx>
      <c:valAx>
        <c:axId val="45959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8102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56160</xdr:rowOff>
    </xdr:from>
    <xdr:to>
      <xdr:col>6</xdr:col>
      <xdr:colOff>617760</xdr:colOff>
      <xdr:row>65</xdr:row>
      <xdr:rowOff>52560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67</xdr:row>
      <xdr:rowOff>55800</xdr:rowOff>
    </xdr:from>
    <xdr:to>
      <xdr:col>6</xdr:col>
      <xdr:colOff>617760</xdr:colOff>
      <xdr:row>81</xdr:row>
      <xdr:rowOff>52560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51</xdr:row>
      <xdr:rowOff>56160</xdr:rowOff>
    </xdr:from>
    <xdr:to>
      <xdr:col>9</xdr:col>
      <xdr:colOff>862560</xdr:colOff>
      <xdr:row>65</xdr:row>
      <xdr:rowOff>52560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67</xdr:row>
      <xdr:rowOff>55800</xdr:rowOff>
    </xdr:from>
    <xdr:to>
      <xdr:col>9</xdr:col>
      <xdr:colOff>862560</xdr:colOff>
      <xdr:row>81</xdr:row>
      <xdr:rowOff>52560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131040</xdr:rowOff>
    </xdr:from>
    <xdr:to>
      <xdr:col>4</xdr:col>
      <xdr:colOff>105840</xdr:colOff>
      <xdr:row>45</xdr:row>
      <xdr:rowOff>174240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final_raw.xlsx" TargetMode="External"/><Relationship Id="rId13" Type="http://schemas.openxmlformats.org/officeDocument/2006/relationships/hyperlink" Target="../final_raw.xlsx" TargetMode="External"/><Relationship Id="rId18" Type="http://schemas.openxmlformats.org/officeDocument/2006/relationships/hyperlink" Target="../final_raw.xlsx" TargetMode="External"/><Relationship Id="rId3" Type="http://schemas.openxmlformats.org/officeDocument/2006/relationships/hyperlink" Target="../final_raw.xlsx" TargetMode="External"/><Relationship Id="rId7" Type="http://schemas.openxmlformats.org/officeDocument/2006/relationships/hyperlink" Target="../final_raw.xlsx" TargetMode="External"/><Relationship Id="rId12" Type="http://schemas.openxmlformats.org/officeDocument/2006/relationships/hyperlink" Target="../final_raw.xlsx" TargetMode="External"/><Relationship Id="rId17" Type="http://schemas.openxmlformats.org/officeDocument/2006/relationships/hyperlink" Target="../final_raw.xlsx" TargetMode="External"/><Relationship Id="rId2" Type="http://schemas.openxmlformats.org/officeDocument/2006/relationships/hyperlink" Target="../final_raw.xlsx" TargetMode="External"/><Relationship Id="rId16" Type="http://schemas.openxmlformats.org/officeDocument/2006/relationships/hyperlink" Target="../final_raw.xlsx" TargetMode="External"/><Relationship Id="rId1" Type="http://schemas.openxmlformats.org/officeDocument/2006/relationships/hyperlink" Target="../final_raw.xlsx" TargetMode="External"/><Relationship Id="rId6" Type="http://schemas.openxmlformats.org/officeDocument/2006/relationships/hyperlink" Target="../final_raw.xlsx" TargetMode="External"/><Relationship Id="rId11" Type="http://schemas.openxmlformats.org/officeDocument/2006/relationships/hyperlink" Target="../final_raw.xlsx" TargetMode="External"/><Relationship Id="rId5" Type="http://schemas.openxmlformats.org/officeDocument/2006/relationships/hyperlink" Target="../final_raw.xlsx" TargetMode="External"/><Relationship Id="rId15" Type="http://schemas.openxmlformats.org/officeDocument/2006/relationships/hyperlink" Target="../final_raw.xlsx" TargetMode="External"/><Relationship Id="rId10" Type="http://schemas.openxmlformats.org/officeDocument/2006/relationships/hyperlink" Target="../final_raw.xlsx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../final_raw.xlsx" TargetMode="External"/><Relationship Id="rId9" Type="http://schemas.openxmlformats.org/officeDocument/2006/relationships/hyperlink" Target="../final_raw.xlsx" TargetMode="External"/><Relationship Id="rId14" Type="http://schemas.openxmlformats.org/officeDocument/2006/relationships/hyperlink" Target="../final_raw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B1:J95"/>
  <sheetViews>
    <sheetView showGridLines="0" zoomScaleNormal="100" workbookViewId="0">
      <selection activeCell="H5" sqref="H5"/>
    </sheetView>
  </sheetViews>
  <sheetFormatPr defaultColWidth="8.6640625" defaultRowHeight="14.25" x14ac:dyDescent="0.45"/>
  <cols>
    <col min="1" max="1" width="2" customWidth="1"/>
    <col min="2" max="2" width="34" customWidth="1"/>
    <col min="3" max="7" width="10.53125" customWidth="1"/>
    <col min="8" max="8" width="3" customWidth="1"/>
    <col min="9" max="9" width="47" customWidth="1"/>
    <col min="10" max="10" width="14" customWidth="1"/>
    <col min="11" max="11" width="3" customWidth="1"/>
    <col min="12" max="14" width="10" customWidth="1"/>
  </cols>
  <sheetData>
    <row r="1" spans="2:10" ht="25.15" x14ac:dyDescent="0.7">
      <c r="B1" s="7" t="str">
        <f>Assumptions!$D$5</f>
        <v>Sample Aqua Ltd.</v>
      </c>
    </row>
    <row r="2" spans="2:10" ht="16.5" x14ac:dyDescent="0.45">
      <c r="B2" s="8" t="s">
        <v>0</v>
      </c>
    </row>
    <row r="3" spans="2:10" x14ac:dyDescent="0.45">
      <c r="B3" s="9" t="str">
        <f>"Scenario: "&amp;Assumptions!$D$11&amp;"   |   BDT million unless stated"</f>
        <v>Scenario: Base case   |   BDT million unless stated</v>
      </c>
    </row>
    <row r="5" spans="2:10" x14ac:dyDescent="0.45">
      <c r="B5" s="10" t="s">
        <v>1</v>
      </c>
      <c r="C5" s="11"/>
      <c r="D5" s="11"/>
      <c r="E5" s="11"/>
      <c r="F5" s="11"/>
      <c r="G5" s="11"/>
      <c r="I5" s="10" t="s">
        <v>2</v>
      </c>
      <c r="J5" s="11"/>
    </row>
    <row r="6" spans="2:10" x14ac:dyDescent="0.45">
      <c r="B6" s="12" t="s">
        <v>3</v>
      </c>
      <c r="C6" s="13" t="str">
        <f>'Income Statement'!E4</f>
        <v>FY2026-27</v>
      </c>
      <c r="D6" s="13" t="str">
        <f>'Income Statement'!F4</f>
        <v>FY2027-28</v>
      </c>
      <c r="E6" s="13" t="str">
        <f>'Income Statement'!G4</f>
        <v>FY2028-29</v>
      </c>
      <c r="F6" s="13" t="str">
        <f>'Income Statement'!H4</f>
        <v>FY2029-30</v>
      </c>
      <c r="G6" s="13" t="str">
        <f>'Income Statement'!I4</f>
        <v>FY2030-31</v>
      </c>
      <c r="I6" s="12" t="s">
        <v>4</v>
      </c>
      <c r="J6" s="14"/>
    </row>
    <row r="7" spans="2:10" x14ac:dyDescent="0.45">
      <c r="B7" s="15" t="s">
        <v>5</v>
      </c>
      <c r="C7" s="16">
        <f>'Income Statement'!E10/1000000</f>
        <v>12.08</v>
      </c>
      <c r="D7" s="16">
        <f>'Income Statement'!F10/1000000</f>
        <v>49.717500000000001</v>
      </c>
      <c r="E7" s="16">
        <f>'Income Statement'!G10/1000000</f>
        <v>66.811499999999995</v>
      </c>
      <c r="F7" s="16">
        <f>'Income Statement'!H10/1000000</f>
        <v>83.059593750000005</v>
      </c>
      <c r="G7" s="16">
        <f>'Income Statement'!I10/1000000</f>
        <v>75.543713437500017</v>
      </c>
      <c r="I7" s="17" t="s">
        <v>6</v>
      </c>
      <c r="J7" s="18">
        <f>Funding!D11/1000000</f>
        <v>45.792242200000004</v>
      </c>
    </row>
    <row r="8" spans="2:10" x14ac:dyDescent="0.45">
      <c r="B8" s="17" t="s">
        <v>7</v>
      </c>
      <c r="C8" s="19"/>
      <c r="D8" s="19">
        <f>'Income Statement'!F11</f>
        <v>3.1156870860927155</v>
      </c>
      <c r="E8" s="19">
        <f>'Income Statement'!G11</f>
        <v>0.34382259767687429</v>
      </c>
      <c r="F8" s="19">
        <f>'Income Statement'!H11</f>
        <v>0.24319306930693063</v>
      </c>
      <c r="G8" s="19">
        <f>'Income Statement'!I11</f>
        <v>-9.0487804878048639E-2</v>
      </c>
      <c r="I8" s="17" t="s">
        <v>8</v>
      </c>
      <c r="J8" s="18">
        <f>Funding!D12/1000000</f>
        <v>2.4199453164494531</v>
      </c>
    </row>
    <row r="9" spans="2:10" x14ac:dyDescent="0.45">
      <c r="B9" s="17" t="s">
        <v>9</v>
      </c>
      <c r="C9" s="20">
        <f>-'Income Statement'!E18/1000000</f>
        <v>8.6813340084008406</v>
      </c>
      <c r="D9" s="20">
        <f>-'Income Statement'!F18/1000000</f>
        <v>22.562345522052205</v>
      </c>
      <c r="E9" s="20">
        <f>-'Income Statement'!G18/1000000</f>
        <v>29.776101727047703</v>
      </c>
      <c r="F9" s="20">
        <f>-'Income Statement'!H18/1000000</f>
        <v>30.865271813400092</v>
      </c>
      <c r="G9" s="20">
        <f>-'Income Statement'!I18/1000000</f>
        <v>32.009686904070101</v>
      </c>
      <c r="I9" s="21" t="s">
        <v>10</v>
      </c>
      <c r="J9" s="22">
        <f>Funding!D13/1000000</f>
        <v>48.212187516449461</v>
      </c>
    </row>
    <row r="10" spans="2:10" x14ac:dyDescent="0.45">
      <c r="B10" s="15" t="s">
        <v>11</v>
      </c>
      <c r="C10" s="16">
        <f>'Income Statement'!E19/1000000</f>
        <v>3.3986659915991595</v>
      </c>
      <c r="D10" s="16">
        <f>'Income Statement'!F19/1000000</f>
        <v>27.155154477947793</v>
      </c>
      <c r="E10" s="16">
        <f>'Income Statement'!G19/1000000</f>
        <v>37.035398272952293</v>
      </c>
      <c r="F10" s="16">
        <f>'Income Statement'!H19/1000000</f>
        <v>52.194321936599913</v>
      </c>
      <c r="G10" s="16">
        <f>'Income Statement'!I19/1000000</f>
        <v>43.534026533429923</v>
      </c>
      <c r="I10" s="17" t="s">
        <v>12</v>
      </c>
      <c r="J10" s="18">
        <f>Funding!D16/1000000</f>
        <v>22.896121100000002</v>
      </c>
    </row>
    <row r="11" spans="2:10" x14ac:dyDescent="0.45">
      <c r="B11" s="17" t="s">
        <v>13</v>
      </c>
      <c r="C11" s="19">
        <f>'Income Statement'!E20</f>
        <v>0.28134652248337411</v>
      </c>
      <c r="D11" s="19">
        <f>'Income Statement'!F20</f>
        <v>0.54618905773515958</v>
      </c>
      <c r="E11" s="19">
        <f>'Income Statement'!G20</f>
        <v>0.55432669933996837</v>
      </c>
      <c r="F11" s="19">
        <f>'Income Statement'!H20</f>
        <v>0.62839606576573115</v>
      </c>
      <c r="G11" s="19">
        <f>'Income Statement'!I20</f>
        <v>0.576275967284123</v>
      </c>
      <c r="I11" s="17" t="s">
        <v>14</v>
      </c>
      <c r="J11" s="18">
        <f>Funding!D17/1000000</f>
        <v>25.316066416449459</v>
      </c>
    </row>
    <row r="12" spans="2:10" x14ac:dyDescent="0.45">
      <c r="B12" s="17" t="s">
        <v>15</v>
      </c>
      <c r="C12" s="20">
        <f>-'Income Statement'!E27/1000000</f>
        <v>2.6065499999999999</v>
      </c>
      <c r="D12" s="20">
        <f>-'Income Statement'!F27/1000000</f>
        <v>5.0436649999999998</v>
      </c>
      <c r="E12" s="20">
        <f>-'Income Statement'!G27/1000000</f>
        <v>6.74084825</v>
      </c>
      <c r="F12" s="20">
        <f>-'Income Statement'!H27/1000000</f>
        <v>8.3542737875000022</v>
      </c>
      <c r="G12" s="20">
        <f>-'Income Statement'!I27/1000000</f>
        <v>7.5923208518750007</v>
      </c>
      <c r="I12" s="17" t="s">
        <v>16</v>
      </c>
      <c r="J12" s="23">
        <f>Funding!D20</f>
        <v>0.52509682137554736</v>
      </c>
    </row>
    <row r="13" spans="2:10" x14ac:dyDescent="0.45">
      <c r="B13" s="15" t="s">
        <v>17</v>
      </c>
      <c r="C13" s="16">
        <f>'Income Statement'!E28/1000000</f>
        <v>0.79211599159915935</v>
      </c>
      <c r="D13" s="16">
        <f>'Income Statement'!F28/1000000</f>
        <v>22.111489477947792</v>
      </c>
      <c r="E13" s="16">
        <f>'Income Statement'!G28/1000000</f>
        <v>30.294550022952297</v>
      </c>
      <c r="F13" s="16">
        <f>'Income Statement'!H28/1000000</f>
        <v>43.840048149099907</v>
      </c>
      <c r="G13" s="16">
        <f>'Income Statement'!I28/1000000</f>
        <v>35.941705681554922</v>
      </c>
    </row>
    <row r="14" spans="2:10" x14ac:dyDescent="0.45">
      <c r="B14" s="17" t="s">
        <v>18</v>
      </c>
      <c r="C14" s="19">
        <f>'Income Statement'!E29</f>
        <v>6.5572515860857564E-2</v>
      </c>
      <c r="D14" s="19">
        <f>'Income Statement'!F29</f>
        <v>0.44474258516513893</v>
      </c>
      <c r="E14" s="19">
        <f>'Income Statement'!G29</f>
        <v>0.45343316678943441</v>
      </c>
      <c r="F14" s="19">
        <f>'Income Statement'!H29</f>
        <v>0.5278143820574599</v>
      </c>
      <c r="G14" s="19">
        <f>'Income Statement'!I29</f>
        <v>0.47577361564692955</v>
      </c>
      <c r="I14" s="12" t="s">
        <v>19</v>
      </c>
      <c r="J14" s="14"/>
    </row>
    <row r="15" spans="2:10" x14ac:dyDescent="0.45">
      <c r="B15" s="17" t="s">
        <v>20</v>
      </c>
      <c r="C15" s="20">
        <f>-('Income Statement'!E30+'Income Statement'!E32)/1000000</f>
        <v>5.846411722</v>
      </c>
      <c r="D15" s="20">
        <f>-('Income Statement'!F30+'Income Statement'!F32)/1000000</f>
        <v>5.846411722</v>
      </c>
      <c r="E15" s="20">
        <f>-('Income Statement'!G30+'Income Statement'!G32)/1000000</f>
        <v>5.3595280889999994</v>
      </c>
      <c r="F15" s="20">
        <f>-('Income Statement'!H30+'Income Statement'!H32)/1000000</f>
        <v>4.6726444560000004</v>
      </c>
      <c r="G15" s="20">
        <f>-('Income Statement'!I30+'Income Statement'!I32)/1000000</f>
        <v>3.9857608230000001</v>
      </c>
      <c r="I15" s="17" t="s">
        <v>21</v>
      </c>
      <c r="J15" s="23">
        <f>'Investment Analysis'!D16</f>
        <v>0.14633594081543685</v>
      </c>
    </row>
    <row r="16" spans="2:10" x14ac:dyDescent="0.45">
      <c r="B16" s="15" t="s">
        <v>22</v>
      </c>
      <c r="C16" s="16">
        <f>'Income Statement'!E35/1000000</f>
        <v>-5.0542957304008409</v>
      </c>
      <c r="D16" s="16">
        <f>'Income Statement'!F35/1000000</f>
        <v>13.182112698922381</v>
      </c>
      <c r="E16" s="16">
        <f>'Income Statement'!G35/1000000</f>
        <v>18.077890902115413</v>
      </c>
      <c r="F16" s="16">
        <f>'Income Statement'!H35/1000000</f>
        <v>28.39636767749743</v>
      </c>
      <c r="G16" s="16">
        <f>'Income Statement'!I35/1000000</f>
        <v>23.168060022452316</v>
      </c>
      <c r="I16" s="21" t="s">
        <v>23</v>
      </c>
      <c r="J16" s="22">
        <f>'Investment Analysis'!D44/1000000</f>
        <v>30.651568897914022</v>
      </c>
    </row>
    <row r="17" spans="2:10" x14ac:dyDescent="0.45">
      <c r="B17" s="17" t="s">
        <v>24</v>
      </c>
      <c r="C17" s="19">
        <f>'Income Statement'!E36</f>
        <v>-0.41840196443715572</v>
      </c>
      <c r="D17" s="19">
        <f>'Income Statement'!F36</f>
        <v>0.2651402966545458</v>
      </c>
      <c r="E17" s="19">
        <f>'Income Statement'!G36</f>
        <v>0.2705805273360935</v>
      </c>
      <c r="F17" s="19">
        <f>'Income Statement'!H36</f>
        <v>0.34187944336649773</v>
      </c>
      <c r="G17" s="19">
        <f>'Income Statement'!I36</f>
        <v>0.3066841563410842</v>
      </c>
      <c r="I17" s="21" t="s">
        <v>25</v>
      </c>
      <c r="J17" s="24">
        <f>'Investment Analysis'!D45</f>
        <v>0.29333205676161977</v>
      </c>
    </row>
    <row r="18" spans="2:10" x14ac:dyDescent="0.45">
      <c r="B18" s="17" t="s">
        <v>26</v>
      </c>
      <c r="C18" s="19">
        <f>Ratios!E12</f>
        <v>-0.22248772416422724</v>
      </c>
      <c r="D18" s="19">
        <f>Ratios!F12</f>
        <v>0.36903343954481183</v>
      </c>
      <c r="E18" s="19">
        <f>Ratios!G12</f>
        <v>0.42088783445107969</v>
      </c>
      <c r="F18" s="19">
        <f>Ratios!H12</f>
        <v>0.52285371383745438</v>
      </c>
      <c r="G18" s="19">
        <f>Ratios!I12</f>
        <v>0.36440617223720467</v>
      </c>
      <c r="I18" s="17" t="s">
        <v>27</v>
      </c>
      <c r="J18" s="25">
        <f>'Investment Analysis'!D42</f>
        <v>3.66188552906626</v>
      </c>
    </row>
    <row r="19" spans="2:10" x14ac:dyDescent="0.45">
      <c r="B19" s="26" t="s">
        <v>28</v>
      </c>
      <c r="I19" s="17" t="s">
        <v>29</v>
      </c>
      <c r="J19" s="25">
        <f>'Investment Analysis'!D43</f>
        <v>4.7764457151728203</v>
      </c>
    </row>
    <row r="20" spans="2:10" x14ac:dyDescent="0.45">
      <c r="B20" s="17" t="s">
        <v>30</v>
      </c>
      <c r="C20" s="27">
        <f>'Segment Analysis'!H38/1000000</f>
        <v>27.905620009899923</v>
      </c>
      <c r="I20" s="17" t="s">
        <v>31</v>
      </c>
      <c r="J20" s="28">
        <f>'Investment Analysis'!D41</f>
        <v>1.0675609410162967</v>
      </c>
    </row>
    <row r="21" spans="2:10" x14ac:dyDescent="0.45">
      <c r="B21" s="17" t="s">
        <v>32</v>
      </c>
      <c r="C21" s="27">
        <f>'Segment Analysis'!H41/1000000</f>
        <v>11.261783683199997</v>
      </c>
      <c r="I21" s="17" t="s">
        <v>33</v>
      </c>
      <c r="J21" s="18">
        <f>'Investment Analysis'!D38/1000000</f>
        <v>3.093766974278167</v>
      </c>
    </row>
    <row r="22" spans="2:10" ht="15" customHeight="1" x14ac:dyDescent="0.45">
      <c r="B22" s="175" t="s">
        <v>34</v>
      </c>
      <c r="C22" s="175"/>
      <c r="D22" s="175"/>
      <c r="E22" s="175"/>
      <c r="F22" s="175"/>
      <c r="G22" s="175"/>
    </row>
    <row r="23" spans="2:10" x14ac:dyDescent="0.45">
      <c r="B23" s="175"/>
      <c r="C23" s="175"/>
      <c r="D23" s="175"/>
      <c r="E23" s="175"/>
      <c r="F23" s="175"/>
      <c r="G23" s="175"/>
      <c r="I23" s="12" t="s">
        <v>35</v>
      </c>
      <c r="J23" s="14"/>
    </row>
    <row r="24" spans="2:10" x14ac:dyDescent="0.45">
      <c r="I24" s="17" t="s">
        <v>36</v>
      </c>
      <c r="J24" s="18">
        <f>'Owner Returns'!D29/1000000</f>
        <v>27.771484956850294</v>
      </c>
    </row>
    <row r="25" spans="2:10" x14ac:dyDescent="0.45">
      <c r="B25" s="10" t="s">
        <v>37</v>
      </c>
      <c r="C25" s="11"/>
      <c r="D25" s="11"/>
      <c r="E25" s="11"/>
      <c r="F25" s="11"/>
      <c r="G25" s="11"/>
      <c r="I25" s="17" t="s">
        <v>38</v>
      </c>
      <c r="J25" s="18">
        <f>'Owner Returns'!D30/1000000</f>
        <v>41.96404751264344</v>
      </c>
    </row>
    <row r="26" spans="2:10" x14ac:dyDescent="0.45">
      <c r="B26" s="12" t="s">
        <v>3</v>
      </c>
      <c r="C26" s="13" t="str">
        <f>C6</f>
        <v>FY2026-27</v>
      </c>
      <c r="D26" s="13" t="str">
        <f>D6</f>
        <v>FY2027-28</v>
      </c>
      <c r="E26" s="13" t="str">
        <f>E6</f>
        <v>FY2028-29</v>
      </c>
      <c r="F26" s="13" t="str">
        <f>F6</f>
        <v>FY2029-30</v>
      </c>
      <c r="G26" s="13" t="str">
        <f>G6</f>
        <v>FY2030-31</v>
      </c>
      <c r="I26" s="17" t="s">
        <v>39</v>
      </c>
      <c r="J26" s="23">
        <f>'Owner Returns'!D31</f>
        <v>1.5110480256221344</v>
      </c>
    </row>
    <row r="27" spans="2:10" x14ac:dyDescent="0.45">
      <c r="B27" s="29" t="s">
        <v>40</v>
      </c>
      <c r="C27" s="20">
        <f>'Cash Flow'!E13/1000000</f>
        <v>-4.3753638568502931</v>
      </c>
      <c r="D27" s="20">
        <f>'Cash Flow'!F13/1000000</f>
        <v>10.905686626404346</v>
      </c>
      <c r="E27" s="20">
        <f>'Cash Flow'!G13/1000000</f>
        <v>18.785958852938066</v>
      </c>
      <c r="F27" s="20">
        <f>'Cash Flow'!H13/1000000</f>
        <v>30.180743449192931</v>
      </c>
      <c r="G27" s="20">
        <f>'Cash Flow'!I13/1000000</f>
        <v>26.896557771177793</v>
      </c>
      <c r="I27" s="17" t="s">
        <v>41</v>
      </c>
      <c r="J27" s="23">
        <f>'Owner Returns'!D35</f>
        <v>0.34750684730893977</v>
      </c>
    </row>
    <row r="28" spans="2:10" x14ac:dyDescent="0.45">
      <c r="B28" s="17" t="s">
        <v>42</v>
      </c>
      <c r="C28" s="20">
        <f>'Cash Flow'!E17/1000000</f>
        <v>0</v>
      </c>
      <c r="D28" s="20">
        <f>'Cash Flow'!F17/1000000</f>
        <v>-5.0030000000000001</v>
      </c>
      <c r="E28" s="20">
        <f>'Cash Flow'!G17/1000000</f>
        <v>0</v>
      </c>
      <c r="F28" s="20">
        <f>'Cash Flow'!H17/1000000</f>
        <v>0</v>
      </c>
      <c r="G28" s="20">
        <f>'Cash Flow'!I17/1000000</f>
        <v>0</v>
      </c>
    </row>
    <row r="29" spans="2:10" x14ac:dyDescent="0.45">
      <c r="B29" s="17" t="s">
        <v>43</v>
      </c>
      <c r="C29" s="20">
        <f>'Cash Flow'!E24/1000000</f>
        <v>2.4554185404008377</v>
      </c>
      <c r="D29" s="20">
        <f>'Cash Flow'!F24/1000000</f>
        <v>-5.9026866264043472</v>
      </c>
      <c r="E29" s="20">
        <f>'Cash Flow'!G24/1000000</f>
        <v>-16.570764816269246</v>
      </c>
      <c r="F29" s="20">
        <f>'Cash Flow'!H24/1000000</f>
        <v>-22.761850881498457</v>
      </c>
      <c r="G29" s="20">
        <f>'Cash Flow'!I24/1000000</f>
        <v>-19.624866288471388</v>
      </c>
      <c r="I29" s="12" t="s">
        <v>44</v>
      </c>
      <c r="J29" s="14"/>
    </row>
    <row r="30" spans="2:10" x14ac:dyDescent="0.45">
      <c r="B30" s="17" t="s">
        <v>45</v>
      </c>
      <c r="C30" s="20">
        <f>'Cash Flow'!E28/1000000</f>
        <v>-1.919945316449456</v>
      </c>
      <c r="D30" s="20">
        <f>'Cash Flow'!F28/1000000</f>
        <v>0</v>
      </c>
      <c r="E30" s="20">
        <f>'Cash Flow'!G28/1000000</f>
        <v>2.2151940366688203</v>
      </c>
      <c r="F30" s="20">
        <f>'Cash Flow'!H28/1000000</f>
        <v>7.4188925676944741</v>
      </c>
      <c r="G30" s="20">
        <f>'Cash Flow'!I28/1000000</f>
        <v>7.2716914827064052</v>
      </c>
      <c r="I30" s="17" t="s">
        <v>46</v>
      </c>
      <c r="J30" s="28">
        <f>'Loan Analysis'!E35</f>
        <v>1.6116528019856233</v>
      </c>
    </row>
    <row r="31" spans="2:10" x14ac:dyDescent="0.45">
      <c r="B31" s="15" t="s">
        <v>47</v>
      </c>
      <c r="C31" s="16">
        <f>'Cash Flow'!E30/1000000</f>
        <v>0.5</v>
      </c>
      <c r="D31" s="16">
        <f>'Cash Flow'!F30/1000000</f>
        <v>0.5</v>
      </c>
      <c r="E31" s="16">
        <f>'Cash Flow'!G30/1000000</f>
        <v>2.7151940366688203</v>
      </c>
      <c r="F31" s="16">
        <f>'Cash Flow'!H30/1000000</f>
        <v>10.134086604363294</v>
      </c>
      <c r="G31" s="16">
        <f>'Cash Flow'!I30/1000000</f>
        <v>17.405778087069699</v>
      </c>
      <c r="I31" s="17" t="s">
        <v>48</v>
      </c>
      <c r="J31" s="28">
        <f>'Loan Analysis'!E36</f>
        <v>3.2594515626395433</v>
      </c>
    </row>
    <row r="32" spans="2:10" x14ac:dyDescent="0.45">
      <c r="I32" s="17" t="s">
        <v>49</v>
      </c>
      <c r="J32" s="28">
        <f>'Loan Analysis'!E37</f>
        <v>6.9198811030440552</v>
      </c>
    </row>
    <row r="33" spans="2:10" x14ac:dyDescent="0.45">
      <c r="B33" s="10" t="s">
        <v>50</v>
      </c>
      <c r="C33" s="11"/>
      <c r="D33" s="11"/>
      <c r="E33" s="11"/>
      <c r="F33" s="11"/>
      <c r="G33" s="11"/>
      <c r="I33" s="17" t="s">
        <v>51</v>
      </c>
      <c r="J33" s="28">
        <f>'Loan Analysis'!E39</f>
        <v>1.2997811788740059</v>
      </c>
    </row>
    <row r="34" spans="2:10" x14ac:dyDescent="0.45">
      <c r="B34" s="12" t="s">
        <v>3</v>
      </c>
      <c r="C34" s="13" t="str">
        <f>C6</f>
        <v>FY2026-27</v>
      </c>
      <c r="D34" s="13" t="str">
        <f>D6</f>
        <v>FY2027-28</v>
      </c>
      <c r="E34" s="13" t="str">
        <f>E6</f>
        <v>FY2028-29</v>
      </c>
      <c r="F34" s="13" t="str">
        <f>F6</f>
        <v>FY2029-30</v>
      </c>
      <c r="G34" s="13" t="str">
        <f>G6</f>
        <v>FY2030-31</v>
      </c>
      <c r="I34" s="17" t="s">
        <v>52</v>
      </c>
      <c r="J34" s="30" t="str">
        <f>'Loan Analysis'!D43&amp;" of "&amp;'Loan Analysis'!E43</f>
        <v>8 of 8</v>
      </c>
    </row>
    <row r="35" spans="2:10" x14ac:dyDescent="0.45">
      <c r="B35" s="29" t="s">
        <v>53</v>
      </c>
      <c r="C35" s="20">
        <f>'Working Capital'!E15/1000000</f>
        <v>2.4199453164494531</v>
      </c>
      <c r="D35" s="20">
        <f>'Working Capital'!F15/1000000</f>
        <v>7.7952485789674872</v>
      </c>
      <c r="E35" s="20">
        <f>'Working Capital'!G15/1000000</f>
        <v>10.386057818144828</v>
      </c>
      <c r="F35" s="20">
        <f>'Working Capital'!H15/1000000</f>
        <v>11.900559236449329</v>
      </c>
      <c r="G35" s="20">
        <f>'Working Capital'!I15/1000000</f>
        <v>11.470938677723851</v>
      </c>
    </row>
    <row r="36" spans="2:10" x14ac:dyDescent="0.45">
      <c r="B36" s="17" t="s">
        <v>54</v>
      </c>
      <c r="C36" s="19">
        <f>'Working Capital'!E17</f>
        <v>0.20032659904382891</v>
      </c>
      <c r="D36" s="19">
        <f>'Working Capital'!F17</f>
        <v>0.15679083982435738</v>
      </c>
      <c r="E36" s="19">
        <f>'Working Capital'!G17</f>
        <v>0.1554531453139778</v>
      </c>
      <c r="F36" s="19">
        <f>'Working Capital'!H17</f>
        <v>0.14327735905220856</v>
      </c>
      <c r="G36" s="19">
        <f>'Working Capital'!I17</f>
        <v>0.15184504647384278</v>
      </c>
      <c r="I36" s="176" t="str">
        <f>'Investment Analysis'!D46</f>
        <v>ACCEPT: NPV is positive and IRR is above the required return</v>
      </c>
      <c r="J36" s="176"/>
    </row>
    <row r="37" spans="2:10" x14ac:dyDescent="0.45">
      <c r="B37" s="29" t="s">
        <v>55</v>
      </c>
      <c r="C37" s="31">
        <f>'Working Capital'!E24</f>
        <v>90</v>
      </c>
      <c r="D37" s="31">
        <f>'Working Capital'!F24</f>
        <v>90</v>
      </c>
      <c r="E37" s="31">
        <f>'Working Capital'!G24</f>
        <v>90</v>
      </c>
      <c r="F37" s="31">
        <f>'Working Capital'!H24</f>
        <v>90</v>
      </c>
      <c r="G37" s="31">
        <f>'Working Capital'!I24</f>
        <v>90</v>
      </c>
      <c r="I37" s="176"/>
      <c r="J37" s="176"/>
    </row>
    <row r="38" spans="2:10" x14ac:dyDescent="0.45">
      <c r="I38" s="176" t="str">
        <f>'Loan Analysis'!B44</f>
        <v>Result: the project meets all 8 lending benchmarks in the Base case.</v>
      </c>
      <c r="J38" s="176"/>
    </row>
    <row r="39" spans="2:10" x14ac:dyDescent="0.45">
      <c r="B39" s="10" t="s">
        <v>56</v>
      </c>
      <c r="C39" s="11"/>
      <c r="D39" s="11"/>
      <c r="E39" s="11"/>
      <c r="F39" s="11"/>
      <c r="G39" s="11"/>
      <c r="I39" s="176"/>
      <c r="J39" s="176"/>
    </row>
    <row r="40" spans="2:10" x14ac:dyDescent="0.45">
      <c r="B40" s="12" t="s">
        <v>57</v>
      </c>
      <c r="C40" s="13" t="str">
        <f>C6</f>
        <v>FY2026-27</v>
      </c>
      <c r="D40" s="13" t="str">
        <f>D6</f>
        <v>FY2027-28</v>
      </c>
      <c r="E40" s="13" t="str">
        <f>E6</f>
        <v>FY2028-29</v>
      </c>
      <c r="F40" s="13" t="str">
        <f>F6</f>
        <v>FY2029-30</v>
      </c>
      <c r="G40" s="13" t="str">
        <f>G6</f>
        <v>FY2030-31</v>
      </c>
    </row>
    <row r="41" spans="2:10" x14ac:dyDescent="0.45">
      <c r="B41" s="29" t="s">
        <v>17</v>
      </c>
      <c r="C41" s="20">
        <f>'Cash Flow'!E37/1000000</f>
        <v>0.79211599159915935</v>
      </c>
      <c r="D41" s="20">
        <f>'Cash Flow'!F37/1000000</f>
        <v>22.111489477947792</v>
      </c>
      <c r="E41" s="20">
        <f>'Cash Flow'!G37/1000000</f>
        <v>30.294550022952297</v>
      </c>
      <c r="F41" s="20">
        <f>'Cash Flow'!H37/1000000</f>
        <v>43.840048149099907</v>
      </c>
      <c r="G41" s="20">
        <f>'Cash Flow'!I37/1000000</f>
        <v>35.941705681554922</v>
      </c>
    </row>
    <row r="42" spans="2:10" x14ac:dyDescent="0.45">
      <c r="B42" s="17" t="s">
        <v>58</v>
      </c>
      <c r="C42" s="20">
        <f>'Cash Flow'!E38/1000000</f>
        <v>-2.747534532</v>
      </c>
      <c r="D42" s="20">
        <f>'Cash Flow'!F38/1000000</f>
        <v>-2.747534532</v>
      </c>
      <c r="E42" s="20">
        <f>'Cash Flow'!G38/1000000</f>
        <v>-2.0606508990000001</v>
      </c>
      <c r="F42" s="20">
        <f>'Cash Flow'!H38/1000000</f>
        <v>-1.3737672660000002</v>
      </c>
      <c r="G42" s="20">
        <f>'Cash Flow'!I38/1000000</f>
        <v>-0.68688363300000022</v>
      </c>
    </row>
    <row r="43" spans="2:10" x14ac:dyDescent="0.45">
      <c r="B43" s="17" t="s">
        <v>59</v>
      </c>
      <c r="C43" s="20">
        <f>'Cash Flow'!E39/1000000</f>
        <v>0</v>
      </c>
      <c r="D43" s="20">
        <f>'Cash Flow'!F39/1000000</f>
        <v>-3.0829650570254126</v>
      </c>
      <c r="E43" s="20">
        <f>'Cash Flow'!G39/1000000</f>
        <v>-6.8571310318368814</v>
      </c>
      <c r="F43" s="20">
        <f>'Cash Flow'!H39/1000000</f>
        <v>-10.771036015602474</v>
      </c>
      <c r="G43" s="20">
        <f>'Cash Flow'!I39/1000000</f>
        <v>-8.7878848361026023</v>
      </c>
    </row>
    <row r="44" spans="2:10" x14ac:dyDescent="0.45">
      <c r="B44" s="17" t="s">
        <v>60</v>
      </c>
    </row>
    <row r="45" spans="2:10" x14ac:dyDescent="0.45">
      <c r="B45" s="32" t="s">
        <v>61</v>
      </c>
      <c r="C45" s="20">
        <f>'Cash Flow'!E41/1000000</f>
        <v>-2.1406029061810292</v>
      </c>
      <c r="D45" s="20">
        <f>'Cash Flow'!F41/1000000</f>
        <v>-3.4227151677496517</v>
      </c>
      <c r="E45" s="20">
        <f>'Cash Flow'!G41/1000000</f>
        <v>-1.778734406711219</v>
      </c>
      <c r="F45" s="20">
        <f>'Cash Flow'!H41/1000000</f>
        <v>-0.26856248704579472</v>
      </c>
      <c r="G45" s="20">
        <f>'Cash Flow'!I41/1000000</f>
        <v>-0.28218454290493206</v>
      </c>
    </row>
    <row r="46" spans="2:10" x14ac:dyDescent="0.45">
      <c r="B46" s="32" t="s">
        <v>62</v>
      </c>
      <c r="C46" s="20">
        <f>'Cash Flow'!E42/1000000</f>
        <v>-0.99287671232876717</v>
      </c>
      <c r="D46" s="20">
        <f>'Cash Flow'!F42/1000000</f>
        <v>-3.0934931506849312</v>
      </c>
      <c r="E46" s="20">
        <f>'Cash Flow'!G42/1000000</f>
        <v>-1.4049863013698627</v>
      </c>
      <c r="F46" s="20">
        <f>'Cash Flow'!H42/1000000</f>
        <v>-1.3354597602739726</v>
      </c>
      <c r="G46" s="20">
        <f>'Cash Flow'!I42/1000000</f>
        <v>0.61774358732876555</v>
      </c>
    </row>
    <row r="47" spans="2:10" x14ac:dyDescent="0.45">
      <c r="B47" s="32" t="s">
        <v>63</v>
      </c>
      <c r="C47" s="20">
        <f>'Cash Flow'!E43/1000000</f>
        <v>0.71353430206034307</v>
      </c>
      <c r="D47" s="20">
        <f>'Cash Flow'!F43/1000000</f>
        <v>1.1409050559165503</v>
      </c>
      <c r="E47" s="20">
        <f>'Cash Flow'!G43/1000000</f>
        <v>0.59291146890373991</v>
      </c>
      <c r="F47" s="20">
        <f>'Cash Flow'!H43/1000000</f>
        <v>8.9520829015264758E-2</v>
      </c>
      <c r="G47" s="20">
        <f>'Cash Flow'!I43/1000000</f>
        <v>9.4061514301644167E-2</v>
      </c>
    </row>
    <row r="48" spans="2:10" x14ac:dyDescent="0.45">
      <c r="B48" s="17" t="s">
        <v>64</v>
      </c>
      <c r="C48" s="20">
        <f>'Cash Flow'!E44/1000000</f>
        <v>0</v>
      </c>
      <c r="D48" s="20">
        <f>'Cash Flow'!F44/1000000</f>
        <v>-5.0030000000000001</v>
      </c>
      <c r="E48" s="20">
        <f>'Cash Flow'!G44/1000000</f>
        <v>0</v>
      </c>
      <c r="F48" s="20">
        <f>'Cash Flow'!H44/1000000</f>
        <v>0</v>
      </c>
      <c r="G48" s="20">
        <f>'Cash Flow'!I44/1000000</f>
        <v>0</v>
      </c>
    </row>
    <row r="49" spans="2:7" x14ac:dyDescent="0.45">
      <c r="B49" s="15" t="s">
        <v>65</v>
      </c>
      <c r="C49" s="16">
        <f>SUM(C41:C48)</f>
        <v>-4.3753638568502939</v>
      </c>
      <c r="D49" s="16">
        <f>SUM(D41:D48)</f>
        <v>5.902686626404348</v>
      </c>
      <c r="E49" s="16">
        <f>SUM(E41:E48)</f>
        <v>18.785958852938073</v>
      </c>
      <c r="F49" s="16">
        <f>SUM(F41:F48)</f>
        <v>30.180743449192924</v>
      </c>
      <c r="G49" s="16">
        <f>SUM(G41:G48)</f>
        <v>26.896557771177793</v>
      </c>
    </row>
    <row r="50" spans="2:7" x14ac:dyDescent="0.45">
      <c r="B50" s="33" t="s">
        <v>66</v>
      </c>
    </row>
    <row r="86" spans="2:10" x14ac:dyDescent="0.45">
      <c r="B86" s="10" t="s">
        <v>67</v>
      </c>
      <c r="C86" s="11"/>
      <c r="D86" s="11"/>
      <c r="E86" s="11"/>
      <c r="F86" s="11"/>
      <c r="G86" s="11"/>
      <c r="I86" s="10"/>
      <c r="J86" s="11"/>
    </row>
    <row r="87" spans="2:10" x14ac:dyDescent="0.45">
      <c r="B87" s="34" t="s">
        <v>68</v>
      </c>
      <c r="I87" s="34" t="s">
        <v>69</v>
      </c>
    </row>
    <row r="88" spans="2:10" x14ac:dyDescent="0.45">
      <c r="B88" s="34" t="s">
        <v>32</v>
      </c>
      <c r="I88" s="34" t="s">
        <v>70</v>
      </c>
    </row>
    <row r="89" spans="2:10" x14ac:dyDescent="0.45">
      <c r="B89" s="34" t="s">
        <v>30</v>
      </c>
      <c r="I89" s="34" t="s">
        <v>71</v>
      </c>
    </row>
    <row r="90" spans="2:10" x14ac:dyDescent="0.45">
      <c r="B90" s="34" t="s">
        <v>72</v>
      </c>
      <c r="I90" s="34" t="s">
        <v>73</v>
      </c>
    </row>
    <row r="91" spans="2:10" x14ac:dyDescent="0.45">
      <c r="B91" s="34" t="s">
        <v>74</v>
      </c>
      <c r="I91" s="34" t="s">
        <v>75</v>
      </c>
    </row>
    <row r="92" spans="2:10" x14ac:dyDescent="0.45">
      <c r="B92" s="34" t="s">
        <v>76</v>
      </c>
      <c r="I92" s="34" t="s">
        <v>77</v>
      </c>
    </row>
    <row r="93" spans="2:10" x14ac:dyDescent="0.45">
      <c r="B93" s="34" t="s">
        <v>78</v>
      </c>
      <c r="I93" s="34" t="s">
        <v>79</v>
      </c>
    </row>
    <row r="94" spans="2:10" x14ac:dyDescent="0.45">
      <c r="B94" s="34" t="s">
        <v>80</v>
      </c>
      <c r="I94" s="34" t="s">
        <v>81</v>
      </c>
    </row>
    <row r="95" spans="2:10" x14ac:dyDescent="0.45">
      <c r="B95" s="34" t="s">
        <v>82</v>
      </c>
      <c r="I95" s="34" t="s">
        <v>83</v>
      </c>
    </row>
  </sheetData>
  <mergeCells count="3">
    <mergeCell ref="B22:G23"/>
    <mergeCell ref="I36:J37"/>
    <mergeCell ref="I38:J39"/>
  </mergeCells>
  <hyperlinks>
    <hyperlink ref="B87" r:id="rId1" location="'Assumptions'!A1" xr:uid="{00000000-0004-0000-0000-000000000000}"/>
    <hyperlink ref="I87" r:id="rId2" location="'Balance%20Sheet'!A1" xr:uid="{00000000-0004-0000-0000-000001000000}"/>
    <hyperlink ref="B88" r:id="rId3" location="'Farming'!A1" xr:uid="{00000000-0004-0000-0000-000002000000}"/>
    <hyperlink ref="I88" r:id="rId4" location="'Segment%20Analysis'!A1" xr:uid="{00000000-0004-0000-0000-000003000000}"/>
    <hyperlink ref="B89" r:id="rId5" location="'Hatchery'!A1" xr:uid="{00000000-0004-0000-0000-000004000000}"/>
    <hyperlink ref="I89" r:id="rId6" location="'Investment%20Analysis'!A1" xr:uid="{00000000-0004-0000-0000-000005000000}"/>
    <hyperlink ref="B90" r:id="rId7" location="'FA%20Schedule'!A1" xr:uid="{00000000-0004-0000-0000-000006000000}"/>
    <hyperlink ref="I90" r:id="rId8" location="'Owner%20Returns'!A1" xr:uid="{00000000-0004-0000-0000-000007000000}"/>
    <hyperlink ref="B91" r:id="rId9" location="'Operations'!A1" xr:uid="{00000000-0004-0000-0000-000008000000}"/>
    <hyperlink ref="I91" r:id="rId10" location="'Loan%20Analysis'!A1" xr:uid="{00000000-0004-0000-0000-000009000000}"/>
    <hyperlink ref="B92" r:id="rId11" location="'Working%20Capital'!A1" xr:uid="{00000000-0004-0000-0000-00000A000000}"/>
    <hyperlink ref="I92" r:id="rId12" location="'Ratios'!A1" xr:uid="{00000000-0004-0000-0000-00000B000000}"/>
    <hyperlink ref="B93" r:id="rId13" location="'Funding'!A1" xr:uid="{00000000-0004-0000-0000-00000C000000}"/>
    <hyperlink ref="I93" r:id="rId14" location="'Scenarios%20and%20Risk'!A1" xr:uid="{00000000-0004-0000-0000-00000D000000}"/>
    <hyperlink ref="B94" r:id="rId15" location="'Income%20Statement'!A1" xr:uid="{00000000-0004-0000-0000-00000E000000}"/>
    <hyperlink ref="I94" r:id="rId16" location="'Sensitivity%20and%20Break-even'!A1" xr:uid="{00000000-0004-0000-0000-00000F000000}"/>
    <hyperlink ref="B95" r:id="rId17" location="'Cash%20Flow'!A1" xr:uid="{00000000-0004-0000-0000-000010000000}"/>
    <hyperlink ref="I95" r:id="rId18" location="'Checks'!A1" xr:uid="{00000000-0004-0000-0000-000011000000}"/>
  </hyperlinks>
  <printOptions horizontalCentered="1"/>
  <pageMargins left="0.5" right="0.5" top="0.7" bottom="0.7" header="0.511811023622047" footer="0.5"/>
  <pageSetup paperSize="9" orientation="portrait" horizontalDpi="300" verticalDpi="300"/>
  <headerFooter>
    <oddFooter>&amp;L&amp;8 Sample Aqua Ltd. - Fish Farming and Hatchery Project&amp;R&amp;8 &amp;A  |  Page &amp;P of &amp;N</oddFooter>
  </headerFooter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22"/>
    <pageSetUpPr fitToPage="1"/>
  </sheetPr>
  <dimension ref="B1:H87"/>
  <sheetViews>
    <sheetView showGridLines="0" zoomScaleNormal="100" workbookViewId="0">
      <pane xSplit="2" ySplit="3" topLeftCell="E76" activePane="bottomRight" state="frozen"/>
      <selection pane="topRight" activeCell="C1" sqref="C1"/>
      <selection pane="bottomLeft" activeCell="A4" sqref="A4"/>
      <selection pane="bottomRight" activeCell="H99" sqref="H99"/>
    </sheetView>
  </sheetViews>
  <sheetFormatPr defaultColWidth="8.6640625" defaultRowHeight="14.25" x14ac:dyDescent="0.45"/>
  <cols>
    <col min="1" max="1" width="2" customWidth="1"/>
    <col min="2" max="2" width="54" customWidth="1"/>
    <col min="3" max="3" width="11" customWidth="1"/>
    <col min="4" max="7" width="14" customWidth="1"/>
    <col min="8" max="8" width="78" customWidth="1"/>
    <col min="9" max="10" width="13" customWidth="1"/>
    <col min="11" max="11" width="60" customWidth="1"/>
  </cols>
  <sheetData>
    <row r="1" spans="2:8" ht="20.65" x14ac:dyDescent="0.6">
      <c r="B1" s="35" t="s">
        <v>68</v>
      </c>
    </row>
    <row r="2" spans="2:8" x14ac:dyDescent="0.45">
      <c r="B2" s="36" t="s">
        <v>84</v>
      </c>
    </row>
    <row r="4" spans="2:8" x14ac:dyDescent="0.45">
      <c r="B4" s="37" t="s">
        <v>85</v>
      </c>
      <c r="C4" s="11"/>
      <c r="D4" s="11"/>
      <c r="E4" s="11"/>
      <c r="F4" s="11"/>
      <c r="G4" s="11"/>
      <c r="H4" s="11"/>
    </row>
    <row r="5" spans="2:8" x14ac:dyDescent="0.45">
      <c r="B5" s="29" t="s">
        <v>86</v>
      </c>
      <c r="C5" s="38" t="s">
        <v>87</v>
      </c>
      <c r="D5" s="39" t="s">
        <v>88</v>
      </c>
      <c r="H5" s="40" t="s">
        <v>89</v>
      </c>
    </row>
    <row r="6" spans="2:8" x14ac:dyDescent="0.45">
      <c r="B6" s="29" t="s">
        <v>90</v>
      </c>
      <c r="C6" s="38" t="s">
        <v>87</v>
      </c>
      <c r="D6" s="39" t="s">
        <v>91</v>
      </c>
      <c r="H6" s="40"/>
    </row>
    <row r="7" spans="2:8" x14ac:dyDescent="0.45">
      <c r="B7" s="29" t="s">
        <v>92</v>
      </c>
      <c r="C7" s="38" t="s">
        <v>93</v>
      </c>
      <c r="D7" s="41">
        <v>2026</v>
      </c>
      <c r="H7" s="40" t="s">
        <v>94</v>
      </c>
    </row>
    <row r="9" spans="2:8" x14ac:dyDescent="0.45">
      <c r="B9" s="37" t="s">
        <v>95</v>
      </c>
      <c r="C9" s="11"/>
      <c r="D9" s="11"/>
      <c r="E9" s="11"/>
      <c r="F9" s="11"/>
      <c r="G9" s="11"/>
      <c r="H9" s="11"/>
    </row>
    <row r="10" spans="2:8" x14ac:dyDescent="0.45">
      <c r="B10" s="29" t="s">
        <v>96</v>
      </c>
      <c r="C10" s="38" t="s">
        <v>97</v>
      </c>
      <c r="D10" s="41">
        <v>1</v>
      </c>
      <c r="H10" s="40" t="s">
        <v>98</v>
      </c>
    </row>
    <row r="11" spans="2:8" x14ac:dyDescent="0.45">
      <c r="B11" s="29" t="s">
        <v>99</v>
      </c>
      <c r="C11" s="38" t="s">
        <v>87</v>
      </c>
      <c r="D11" s="42" t="str">
        <f>CHOOSE(D10,"Base case","Downside case","Upside case")</f>
        <v>Base case</v>
      </c>
    </row>
    <row r="13" spans="2:8" x14ac:dyDescent="0.45">
      <c r="B13" s="43" t="s">
        <v>100</v>
      </c>
      <c r="C13" s="44" t="s">
        <v>101</v>
      </c>
      <c r="D13" s="44" t="s">
        <v>102</v>
      </c>
      <c r="E13" s="44" t="s">
        <v>103</v>
      </c>
      <c r="F13" s="44" t="s">
        <v>104</v>
      </c>
      <c r="G13" s="44" t="s">
        <v>105</v>
      </c>
    </row>
    <row r="14" spans="2:8" x14ac:dyDescent="0.45">
      <c r="B14" s="29" t="s">
        <v>106</v>
      </c>
      <c r="C14" s="38" t="s">
        <v>107</v>
      </c>
      <c r="D14" s="45">
        <v>1</v>
      </c>
      <c r="E14" s="45">
        <v>0.9</v>
      </c>
      <c r="F14" s="45">
        <v>1.05</v>
      </c>
      <c r="G14" s="46">
        <f>CHOOSE($D$10,D14,E14,F14)</f>
        <v>1</v>
      </c>
      <c r="H14" s="40"/>
    </row>
    <row r="15" spans="2:8" x14ac:dyDescent="0.45">
      <c r="B15" s="29" t="s">
        <v>108</v>
      </c>
      <c r="C15" s="38" t="s">
        <v>107</v>
      </c>
      <c r="D15" s="45">
        <v>1</v>
      </c>
      <c r="E15" s="45">
        <v>0.85</v>
      </c>
      <c r="F15" s="45">
        <v>1</v>
      </c>
      <c r="G15" s="46">
        <f>CHOOSE($D$10,D15,E15,F15)</f>
        <v>1</v>
      </c>
      <c r="H15" s="40"/>
    </row>
    <row r="16" spans="2:8" x14ac:dyDescent="0.45">
      <c r="B16" s="29" t="s">
        <v>109</v>
      </c>
      <c r="C16" s="38" t="s">
        <v>107</v>
      </c>
      <c r="D16" s="45">
        <v>1</v>
      </c>
      <c r="E16" s="45">
        <v>1.1000000000000001</v>
      </c>
      <c r="F16" s="45">
        <v>0.95</v>
      </c>
      <c r="G16" s="46">
        <f>CHOOSE($D$10,D16,E16,F16)</f>
        <v>1</v>
      </c>
      <c r="H16" s="40"/>
    </row>
    <row r="17" spans="2:8" x14ac:dyDescent="0.45">
      <c r="B17" s="29" t="s">
        <v>110</v>
      </c>
      <c r="C17" s="38" t="s">
        <v>107</v>
      </c>
      <c r="D17" s="45">
        <v>1</v>
      </c>
      <c r="E17" s="45">
        <v>1.1000000000000001</v>
      </c>
      <c r="F17" s="45">
        <v>1</v>
      </c>
      <c r="G17" s="46">
        <f>CHOOSE($D$10,D17,E17,F17)</f>
        <v>1</v>
      </c>
      <c r="H17" s="40"/>
    </row>
    <row r="18" spans="2:8" x14ac:dyDescent="0.45">
      <c r="B18" s="29" t="s">
        <v>111</v>
      </c>
      <c r="C18" s="38" t="s">
        <v>112</v>
      </c>
      <c r="D18" s="45">
        <v>0</v>
      </c>
      <c r="E18" s="45">
        <v>0.02</v>
      </c>
      <c r="F18" s="45">
        <v>0</v>
      </c>
      <c r="G18" s="46">
        <f>CHOOSE($D$10,D18,E18,F18)</f>
        <v>0</v>
      </c>
      <c r="H18" s="40"/>
    </row>
    <row r="20" spans="2:8" x14ac:dyDescent="0.45">
      <c r="B20" s="37" t="s">
        <v>113</v>
      </c>
      <c r="C20" s="11"/>
      <c r="D20" s="11"/>
      <c r="E20" s="11"/>
      <c r="F20" s="11"/>
      <c r="G20" s="11"/>
      <c r="H20" s="11"/>
    </row>
    <row r="21" spans="2:8" x14ac:dyDescent="0.45">
      <c r="B21" s="29" t="s">
        <v>114</v>
      </c>
      <c r="C21" s="38" t="s">
        <v>115</v>
      </c>
      <c r="D21" s="45">
        <v>0.05</v>
      </c>
      <c r="H21" s="40"/>
    </row>
    <row r="22" spans="2:8" x14ac:dyDescent="0.45">
      <c r="B22" s="29" t="s">
        <v>116</v>
      </c>
      <c r="C22" s="38" t="s">
        <v>115</v>
      </c>
      <c r="D22" s="45">
        <v>0.05</v>
      </c>
      <c r="H22" s="40"/>
    </row>
    <row r="23" spans="2:8" x14ac:dyDescent="0.45">
      <c r="B23" s="29" t="s">
        <v>117</v>
      </c>
      <c r="C23" s="38" t="s">
        <v>115</v>
      </c>
      <c r="D23" s="45">
        <v>0.05</v>
      </c>
      <c r="H23" s="40"/>
    </row>
    <row r="24" spans="2:8" x14ac:dyDescent="0.45">
      <c r="B24" s="29" t="s">
        <v>118</v>
      </c>
    </row>
    <row r="25" spans="2:8" x14ac:dyDescent="0.45">
      <c r="B25" s="29" t="s">
        <v>119</v>
      </c>
      <c r="C25" s="38" t="s">
        <v>115</v>
      </c>
      <c r="D25" s="45">
        <v>0.1</v>
      </c>
      <c r="H25" s="40"/>
    </row>
    <row r="26" spans="2:8" x14ac:dyDescent="0.45">
      <c r="B26" s="29" t="s">
        <v>120</v>
      </c>
      <c r="C26" s="38" t="s">
        <v>115</v>
      </c>
      <c r="D26" s="45">
        <v>0.1</v>
      </c>
      <c r="H26" s="40"/>
    </row>
    <row r="27" spans="2:8" x14ac:dyDescent="0.45">
      <c r="B27" s="29" t="s">
        <v>121</v>
      </c>
      <c r="C27" s="38" t="s">
        <v>115</v>
      </c>
      <c r="D27" s="45">
        <v>0.05</v>
      </c>
      <c r="H27" s="40" t="s">
        <v>122</v>
      </c>
    </row>
    <row r="29" spans="2:8" x14ac:dyDescent="0.45">
      <c r="B29" s="43" t="s">
        <v>123</v>
      </c>
      <c r="C29" s="44" t="s">
        <v>101</v>
      </c>
      <c r="D29" s="44" t="s">
        <v>124</v>
      </c>
      <c r="E29" s="44" t="s">
        <v>125</v>
      </c>
      <c r="F29" s="44" t="s">
        <v>126</v>
      </c>
      <c r="H29" s="40"/>
    </row>
    <row r="30" spans="2:8" x14ac:dyDescent="0.45">
      <c r="B30" s="29" t="s">
        <v>127</v>
      </c>
      <c r="C30" s="38" t="s">
        <v>128</v>
      </c>
      <c r="D30" s="47">
        <f>Farming!C58</f>
        <v>110</v>
      </c>
      <c r="E30" s="23">
        <f t="shared" ref="E30:E35" si="0">$D$21</f>
        <v>0.05</v>
      </c>
      <c r="F30" s="48">
        <f t="shared" ref="F30:F36" si="1">D30*(1+E30)^4</f>
        <v>133.70568750000001</v>
      </c>
    </row>
    <row r="31" spans="2:8" x14ac:dyDescent="0.45">
      <c r="B31" s="29" t="s">
        <v>129</v>
      </c>
      <c r="C31" s="38" t="s">
        <v>128</v>
      </c>
      <c r="D31" s="47">
        <f>Farming!C59</f>
        <v>180</v>
      </c>
      <c r="E31" s="23">
        <f t="shared" si="0"/>
        <v>0.05</v>
      </c>
      <c r="F31" s="48">
        <f t="shared" si="1"/>
        <v>218.79112499999999</v>
      </c>
    </row>
    <row r="32" spans="2:8" x14ac:dyDescent="0.45">
      <c r="B32" s="29" t="s">
        <v>130</v>
      </c>
      <c r="C32" s="38" t="s">
        <v>131</v>
      </c>
      <c r="D32" s="47">
        <f>Hatchery!C52</f>
        <v>0.8</v>
      </c>
      <c r="E32" s="23">
        <f t="shared" si="0"/>
        <v>0.05</v>
      </c>
      <c r="F32" s="48">
        <f t="shared" si="1"/>
        <v>0.97240500000000007</v>
      </c>
    </row>
    <row r="33" spans="2:8" x14ac:dyDescent="0.45">
      <c r="B33" s="29" t="s">
        <v>132</v>
      </c>
      <c r="C33" s="38" t="s">
        <v>128</v>
      </c>
      <c r="D33" s="47">
        <f>Hatchery!C53</f>
        <v>3500</v>
      </c>
      <c r="E33" s="23">
        <f t="shared" si="0"/>
        <v>0.05</v>
      </c>
      <c r="F33" s="48">
        <f t="shared" si="1"/>
        <v>4254.2718750000004</v>
      </c>
    </row>
    <row r="34" spans="2:8" x14ac:dyDescent="0.45">
      <c r="B34" s="29" t="s">
        <v>133</v>
      </c>
      <c r="C34" s="38" t="s">
        <v>128</v>
      </c>
      <c r="D34" s="47">
        <f>Hatchery!C54</f>
        <v>150</v>
      </c>
      <c r="E34" s="23">
        <f t="shared" si="0"/>
        <v>0.05</v>
      </c>
      <c r="F34" s="48">
        <f t="shared" si="1"/>
        <v>182.32593750000001</v>
      </c>
    </row>
    <row r="35" spans="2:8" x14ac:dyDescent="0.45">
      <c r="B35" s="29" t="s">
        <v>134</v>
      </c>
      <c r="C35" s="38" t="s">
        <v>128</v>
      </c>
      <c r="D35" s="47">
        <f>Hatchery!C55</f>
        <v>300</v>
      </c>
      <c r="E35" s="23">
        <f t="shared" si="0"/>
        <v>0.05</v>
      </c>
      <c r="F35" s="48">
        <f t="shared" si="1"/>
        <v>364.65187500000002</v>
      </c>
    </row>
    <row r="36" spans="2:8" x14ac:dyDescent="0.45">
      <c r="B36" s="29" t="s">
        <v>135</v>
      </c>
      <c r="C36" s="38" t="s">
        <v>128</v>
      </c>
      <c r="D36" s="47">
        <f>Farming!C50</f>
        <v>40</v>
      </c>
      <c r="E36" s="23">
        <f>$D$22</f>
        <v>0.05</v>
      </c>
      <c r="F36" s="48">
        <f t="shared" si="1"/>
        <v>48.620249999999999</v>
      </c>
    </row>
    <row r="38" spans="2:8" x14ac:dyDescent="0.45">
      <c r="B38" s="37" t="s">
        <v>136</v>
      </c>
      <c r="C38" s="11"/>
      <c r="D38" s="11"/>
      <c r="E38" s="11"/>
      <c r="F38" s="11"/>
      <c r="G38" s="11"/>
      <c r="H38" s="11"/>
    </row>
    <row r="39" spans="2:8" x14ac:dyDescent="0.45">
      <c r="B39" s="29" t="s">
        <v>137</v>
      </c>
      <c r="C39" s="38" t="s">
        <v>138</v>
      </c>
      <c r="D39" s="45">
        <v>0.27500000000000002</v>
      </c>
      <c r="H39" s="40" t="s">
        <v>139</v>
      </c>
    </row>
    <row r="40" spans="2:8" x14ac:dyDescent="0.45">
      <c r="B40" s="29" t="s">
        <v>140</v>
      </c>
      <c r="C40" s="38" t="s">
        <v>138</v>
      </c>
      <c r="D40" s="45">
        <v>0.12</v>
      </c>
      <c r="H40" s="40" t="s">
        <v>141</v>
      </c>
    </row>
    <row r="41" spans="2:8" x14ac:dyDescent="0.45">
      <c r="B41" s="29" t="s">
        <v>142</v>
      </c>
      <c r="C41" s="38" t="s">
        <v>138</v>
      </c>
      <c r="D41" s="45">
        <v>0.5</v>
      </c>
      <c r="H41" s="40" t="s">
        <v>143</v>
      </c>
    </row>
    <row r="42" spans="2:8" x14ac:dyDescent="0.45">
      <c r="B42" s="29" t="s">
        <v>144</v>
      </c>
      <c r="C42" s="38" t="s">
        <v>145</v>
      </c>
      <c r="D42" s="41">
        <v>5</v>
      </c>
      <c r="H42" s="40"/>
    </row>
    <row r="43" spans="2:8" x14ac:dyDescent="0.45">
      <c r="B43" s="29" t="s">
        <v>146</v>
      </c>
      <c r="C43" s="38" t="s">
        <v>145</v>
      </c>
      <c r="D43" s="41">
        <v>1</v>
      </c>
      <c r="H43" s="40" t="s">
        <v>147</v>
      </c>
    </row>
    <row r="44" spans="2:8" x14ac:dyDescent="0.45">
      <c r="B44" s="29" t="s">
        <v>148</v>
      </c>
      <c r="C44" s="38" t="s">
        <v>149</v>
      </c>
      <c r="D44" s="49">
        <v>500000</v>
      </c>
      <c r="H44" s="40" t="s">
        <v>150</v>
      </c>
    </row>
    <row r="45" spans="2:8" x14ac:dyDescent="0.45">
      <c r="B45" s="29" t="s">
        <v>151</v>
      </c>
      <c r="C45" s="38" t="s">
        <v>152</v>
      </c>
      <c r="D45" s="45">
        <v>0.6</v>
      </c>
      <c r="H45" s="40" t="s">
        <v>153</v>
      </c>
    </row>
    <row r="47" spans="2:8" x14ac:dyDescent="0.45">
      <c r="B47" s="37" t="s">
        <v>154</v>
      </c>
      <c r="C47" s="11"/>
      <c r="D47" s="11"/>
      <c r="E47" s="11"/>
      <c r="F47" s="11"/>
      <c r="G47" s="11"/>
      <c r="H47" s="11"/>
    </row>
    <row r="48" spans="2:8" x14ac:dyDescent="0.45">
      <c r="B48" s="29" t="s">
        <v>155</v>
      </c>
      <c r="C48" s="38" t="s">
        <v>138</v>
      </c>
      <c r="D48" s="45">
        <v>0.2</v>
      </c>
      <c r="H48" s="40"/>
    </row>
    <row r="49" spans="2:8" x14ac:dyDescent="0.45">
      <c r="B49" s="29" t="s">
        <v>156</v>
      </c>
      <c r="C49" s="38" t="s">
        <v>138</v>
      </c>
      <c r="D49" s="24">
        <f>'Investment Analysis'!D16</f>
        <v>0.14633594081543685</v>
      </c>
      <c r="H49" s="40" t="s">
        <v>157</v>
      </c>
    </row>
    <row r="50" spans="2:8" x14ac:dyDescent="0.45">
      <c r="B50" s="29" t="s">
        <v>158</v>
      </c>
      <c r="C50" s="38" t="s">
        <v>107</v>
      </c>
      <c r="D50" s="50">
        <v>1.25</v>
      </c>
      <c r="H50" s="40" t="s">
        <v>159</v>
      </c>
    </row>
    <row r="51" spans="2:8" x14ac:dyDescent="0.45">
      <c r="B51" s="29" t="s">
        <v>160</v>
      </c>
      <c r="C51" s="38" t="s">
        <v>107</v>
      </c>
      <c r="D51" s="50">
        <v>2</v>
      </c>
    </row>
    <row r="52" spans="2:8" x14ac:dyDescent="0.45">
      <c r="B52" s="29" t="s">
        <v>161</v>
      </c>
      <c r="C52" s="38" t="s">
        <v>107</v>
      </c>
      <c r="D52" s="50">
        <v>2</v>
      </c>
    </row>
    <row r="53" spans="2:8" x14ac:dyDescent="0.45">
      <c r="B53" s="29" t="s">
        <v>162</v>
      </c>
      <c r="C53" s="38" t="s">
        <v>107</v>
      </c>
      <c r="D53" s="50">
        <v>1.25</v>
      </c>
    </row>
    <row r="54" spans="2:8" x14ac:dyDescent="0.45">
      <c r="B54" s="29" t="s">
        <v>163</v>
      </c>
      <c r="C54" s="38" t="s">
        <v>107</v>
      </c>
      <c r="D54" s="50">
        <v>1.2</v>
      </c>
    </row>
    <row r="55" spans="2:8" x14ac:dyDescent="0.45">
      <c r="B55" s="29" t="s">
        <v>164</v>
      </c>
      <c r="C55" s="38" t="s">
        <v>165</v>
      </c>
      <c r="D55" s="45">
        <v>0.3</v>
      </c>
    </row>
    <row r="56" spans="2:8" x14ac:dyDescent="0.45">
      <c r="B56" s="29" t="s">
        <v>166</v>
      </c>
      <c r="C56" s="38" t="s">
        <v>138</v>
      </c>
      <c r="D56" s="45">
        <v>0.25</v>
      </c>
      <c r="H56" s="40" t="s">
        <v>167</v>
      </c>
    </row>
    <row r="58" spans="2:8" x14ac:dyDescent="0.45">
      <c r="B58" s="37" t="s">
        <v>168</v>
      </c>
      <c r="C58" s="11"/>
      <c r="D58" s="11"/>
      <c r="E58" s="11"/>
      <c r="F58" s="11"/>
      <c r="G58" s="11"/>
      <c r="H58" s="11"/>
    </row>
    <row r="59" spans="2:8" x14ac:dyDescent="0.45">
      <c r="B59" s="29" t="s">
        <v>169</v>
      </c>
      <c r="C59" s="38" t="s">
        <v>138</v>
      </c>
      <c r="D59" s="45">
        <v>0.7</v>
      </c>
      <c r="H59" s="40" t="s">
        <v>170</v>
      </c>
    </row>
    <row r="60" spans="2:8" x14ac:dyDescent="0.45">
      <c r="B60" s="29" t="s">
        <v>171</v>
      </c>
      <c r="C60" s="38" t="s">
        <v>138</v>
      </c>
      <c r="D60" s="19">
        <f>1-D59</f>
        <v>0.30000000000000004</v>
      </c>
    </row>
    <row r="61" spans="2:8" x14ac:dyDescent="0.45">
      <c r="B61" s="29" t="s">
        <v>172</v>
      </c>
      <c r="C61" s="38" t="s">
        <v>173</v>
      </c>
      <c r="D61" s="45">
        <v>0.02</v>
      </c>
      <c r="H61" s="40" t="s">
        <v>174</v>
      </c>
    </row>
    <row r="62" spans="2:8" x14ac:dyDescent="0.45">
      <c r="B62" s="29" t="s">
        <v>175</v>
      </c>
      <c r="C62" s="38" t="s">
        <v>173</v>
      </c>
      <c r="D62" s="45">
        <v>0.08</v>
      </c>
      <c r="H62" s="40" t="s">
        <v>174</v>
      </c>
    </row>
    <row r="63" spans="2:8" x14ac:dyDescent="0.45">
      <c r="B63" s="29" t="s">
        <v>176</v>
      </c>
      <c r="C63" s="38" t="s">
        <v>149</v>
      </c>
      <c r="D63" s="49">
        <v>500000</v>
      </c>
      <c r="H63" s="40" t="s">
        <v>177</v>
      </c>
    </row>
    <row r="64" spans="2:8" x14ac:dyDescent="0.45">
      <c r="B64" s="29" t="s">
        <v>178</v>
      </c>
      <c r="C64" s="38" t="s">
        <v>179</v>
      </c>
      <c r="D64" s="41">
        <v>30</v>
      </c>
      <c r="H64" s="40" t="s">
        <v>180</v>
      </c>
    </row>
    <row r="65" spans="2:8" x14ac:dyDescent="0.45">
      <c r="B65" s="29" t="s">
        <v>181</v>
      </c>
      <c r="C65" s="38" t="s">
        <v>182</v>
      </c>
      <c r="D65" s="41">
        <v>90</v>
      </c>
      <c r="H65" s="40" t="s">
        <v>183</v>
      </c>
    </row>
    <row r="66" spans="2:8" x14ac:dyDescent="0.45">
      <c r="B66" s="29" t="s">
        <v>184</v>
      </c>
      <c r="C66" s="38" t="s">
        <v>182</v>
      </c>
      <c r="D66" s="41">
        <v>30</v>
      </c>
      <c r="H66" s="40" t="s">
        <v>185</v>
      </c>
    </row>
    <row r="67" spans="2:8" x14ac:dyDescent="0.45">
      <c r="B67" s="29" t="s">
        <v>186</v>
      </c>
      <c r="C67" s="38" t="s">
        <v>149</v>
      </c>
      <c r="D67" s="49">
        <v>2000000</v>
      </c>
      <c r="H67" s="40" t="s">
        <v>187</v>
      </c>
    </row>
    <row r="68" spans="2:8" x14ac:dyDescent="0.45">
      <c r="B68" s="29" t="s">
        <v>188</v>
      </c>
      <c r="C68" s="38" t="s">
        <v>189</v>
      </c>
      <c r="D68" s="41">
        <v>143</v>
      </c>
      <c r="H68" s="40" t="s">
        <v>190</v>
      </c>
    </row>
    <row r="69" spans="2:8" x14ac:dyDescent="0.45">
      <c r="B69" s="29" t="s">
        <v>191</v>
      </c>
      <c r="C69" s="38" t="s">
        <v>192</v>
      </c>
      <c r="D69" s="49">
        <v>21000</v>
      </c>
      <c r="H69" s="40" t="s">
        <v>190</v>
      </c>
    </row>
    <row r="70" spans="2:8" x14ac:dyDescent="0.45">
      <c r="B70" s="29" t="s">
        <v>193</v>
      </c>
      <c r="C70" s="38" t="s">
        <v>194</v>
      </c>
      <c r="D70" s="51">
        <f>Hatchery!B28</f>
        <v>60000</v>
      </c>
      <c r="H70" s="40" t="s">
        <v>195</v>
      </c>
    </row>
    <row r="71" spans="2:8" x14ac:dyDescent="0.45">
      <c r="B71" s="29" t="s">
        <v>196</v>
      </c>
      <c r="C71" s="38" t="s">
        <v>194</v>
      </c>
      <c r="D71" s="51">
        <f>Hatchery!B29</f>
        <v>5000</v>
      </c>
      <c r="H71" s="40" t="s">
        <v>197</v>
      </c>
    </row>
    <row r="72" spans="2:8" x14ac:dyDescent="0.45">
      <c r="B72" s="29" t="s">
        <v>198</v>
      </c>
      <c r="C72" s="38" t="s">
        <v>199</v>
      </c>
      <c r="D72" s="52">
        <v>0.5</v>
      </c>
      <c r="H72" s="40" t="s">
        <v>200</v>
      </c>
    </row>
    <row r="73" spans="2:8" x14ac:dyDescent="0.45">
      <c r="B73" s="29" t="s">
        <v>201</v>
      </c>
      <c r="C73" s="38" t="s">
        <v>199</v>
      </c>
      <c r="D73" s="52">
        <v>5</v>
      </c>
      <c r="H73" s="40" t="s">
        <v>200</v>
      </c>
    </row>
    <row r="74" spans="2:8" x14ac:dyDescent="0.45">
      <c r="B74" s="29" t="s">
        <v>202</v>
      </c>
      <c r="C74" s="38" t="s">
        <v>138</v>
      </c>
      <c r="D74" s="45">
        <v>0.2</v>
      </c>
      <c r="H74" s="40" t="s">
        <v>203</v>
      </c>
    </row>
    <row r="75" spans="2:8" x14ac:dyDescent="0.45">
      <c r="B75" s="29" t="s">
        <v>204</v>
      </c>
      <c r="C75" s="38" t="s">
        <v>205</v>
      </c>
      <c r="D75" s="51">
        <f>D70*D72*(1-D74)</f>
        <v>24000</v>
      </c>
      <c r="H75" s="40" t="s">
        <v>206</v>
      </c>
    </row>
    <row r="76" spans="2:8" x14ac:dyDescent="0.45">
      <c r="B76" s="29" t="s">
        <v>207</v>
      </c>
      <c r="C76" s="38" t="s">
        <v>205</v>
      </c>
      <c r="D76" s="51">
        <f>D71*D73*(1-D74)</f>
        <v>20000</v>
      </c>
      <c r="H76" s="40" t="s">
        <v>206</v>
      </c>
    </row>
    <row r="77" spans="2:8" x14ac:dyDescent="0.45">
      <c r="B77" s="29" t="s">
        <v>208</v>
      </c>
      <c r="C77" s="38" t="s">
        <v>209</v>
      </c>
      <c r="D77" s="45">
        <v>0.1</v>
      </c>
      <c r="H77" s="40" t="s">
        <v>210</v>
      </c>
    </row>
    <row r="78" spans="2:8" x14ac:dyDescent="0.45">
      <c r="B78" s="29" t="s">
        <v>211</v>
      </c>
      <c r="C78" s="38" t="s">
        <v>209</v>
      </c>
      <c r="D78" s="45">
        <v>0.2</v>
      </c>
    </row>
    <row r="79" spans="2:8" x14ac:dyDescent="0.45">
      <c r="B79" s="29" t="s">
        <v>212</v>
      </c>
      <c r="C79" s="38" t="s">
        <v>209</v>
      </c>
      <c r="D79" s="45">
        <v>0.2</v>
      </c>
    </row>
    <row r="80" spans="2:8" x14ac:dyDescent="0.45">
      <c r="B80" s="29" t="s">
        <v>213</v>
      </c>
      <c r="C80" s="38" t="s">
        <v>209</v>
      </c>
      <c r="D80" s="45">
        <v>0.2</v>
      </c>
    </row>
    <row r="81" spans="2:8" x14ac:dyDescent="0.45">
      <c r="B81" s="29" t="s">
        <v>214</v>
      </c>
      <c r="C81" s="38" t="s">
        <v>209</v>
      </c>
      <c r="D81" s="45">
        <v>0.2</v>
      </c>
    </row>
    <row r="82" spans="2:8" x14ac:dyDescent="0.45">
      <c r="B82" s="29" t="s">
        <v>215</v>
      </c>
      <c r="C82" s="38" t="s">
        <v>138</v>
      </c>
      <c r="D82" s="45">
        <v>-0.1</v>
      </c>
      <c r="H82" s="40" t="s">
        <v>216</v>
      </c>
    </row>
    <row r="83" spans="2:8" x14ac:dyDescent="0.45">
      <c r="B83" s="29" t="s">
        <v>217</v>
      </c>
      <c r="C83" s="38" t="s">
        <v>218</v>
      </c>
      <c r="D83" s="45">
        <v>1</v>
      </c>
      <c r="H83" s="40" t="s">
        <v>219</v>
      </c>
    </row>
    <row r="84" spans="2:8" x14ac:dyDescent="0.45">
      <c r="B84" s="29" t="s">
        <v>220</v>
      </c>
      <c r="C84" s="38" t="s">
        <v>218</v>
      </c>
      <c r="D84" s="45">
        <v>0.05</v>
      </c>
    </row>
    <row r="85" spans="2:8" x14ac:dyDescent="0.45">
      <c r="B85" s="29" t="s">
        <v>221</v>
      </c>
      <c r="C85" s="38" t="s">
        <v>218</v>
      </c>
      <c r="D85" s="45">
        <v>0.1</v>
      </c>
    </row>
    <row r="86" spans="2:8" x14ac:dyDescent="0.45">
      <c r="B86" s="29" t="s">
        <v>222</v>
      </c>
      <c r="C86" s="38" t="s">
        <v>218</v>
      </c>
      <c r="D86" s="45">
        <v>0</v>
      </c>
    </row>
    <row r="87" spans="2:8" x14ac:dyDescent="0.45">
      <c r="B87" s="29" t="s">
        <v>223</v>
      </c>
      <c r="C87" s="38" t="s">
        <v>218</v>
      </c>
      <c r="D87" s="45">
        <v>0.05</v>
      </c>
    </row>
  </sheetData>
  <dataValidations count="1">
    <dataValidation type="whole" showErrorMessage="1" error="Enter 1, 2 or 3" sqref="D10" xr:uid="{00000000-0002-0000-0100-000000000000}">
      <formula1>1</formula1>
      <formula2>3</formula2>
    </dataValidation>
  </dataValidations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9DB"/>
    <pageSetUpPr fitToPage="1"/>
  </sheetPr>
  <dimension ref="A2:AV78"/>
  <sheetViews>
    <sheetView showGridLines="0" topLeftCell="A40" zoomScaleNormal="100" workbookViewId="0">
      <selection activeCell="A64" sqref="A64"/>
    </sheetView>
  </sheetViews>
  <sheetFormatPr defaultColWidth="8.6640625" defaultRowHeight="14.25" x14ac:dyDescent="0.45"/>
  <cols>
    <col min="1" max="1" width="26" customWidth="1"/>
    <col min="2" max="2" width="17" customWidth="1"/>
    <col min="3" max="16" width="15.53125" customWidth="1"/>
    <col min="17" max="49" width="12.46484375" customWidth="1"/>
  </cols>
  <sheetData>
    <row r="2" spans="1:13" ht="26.25" customHeight="1" x14ac:dyDescent="0.75">
      <c r="B2" s="53"/>
      <c r="D2" t="s">
        <v>224</v>
      </c>
    </row>
    <row r="3" spans="1:13" ht="15" customHeight="1" x14ac:dyDescent="0.45">
      <c r="D3" t="s">
        <v>225</v>
      </c>
    </row>
    <row r="4" spans="1:13" ht="15" customHeight="1" x14ac:dyDescent="0.45">
      <c r="I4" s="54" t="s">
        <v>226</v>
      </c>
    </row>
    <row r="5" spans="1:13" ht="15" customHeight="1" x14ac:dyDescent="0.45">
      <c r="A5" s="54" t="s">
        <v>227</v>
      </c>
      <c r="I5" s="54"/>
    </row>
    <row r="6" spans="1:13" ht="15" customHeight="1" x14ac:dyDescent="0.45">
      <c r="A6" s="54" t="s">
        <v>228</v>
      </c>
    </row>
    <row r="7" spans="1:13" ht="15" customHeight="1" x14ac:dyDescent="0.45">
      <c r="A7" s="182" t="s">
        <v>229</v>
      </c>
      <c r="B7" s="183" t="s">
        <v>230</v>
      </c>
      <c r="C7" s="183"/>
      <c r="D7" s="183"/>
      <c r="E7" s="183" t="s">
        <v>231</v>
      </c>
      <c r="F7" s="183"/>
      <c r="G7" s="183"/>
      <c r="H7" s="183" t="s">
        <v>232</v>
      </c>
      <c r="I7" s="183"/>
      <c r="J7" s="183"/>
      <c r="K7" s="183" t="s">
        <v>233</v>
      </c>
      <c r="L7" s="183"/>
      <c r="M7" s="183"/>
    </row>
    <row r="8" spans="1:13" ht="40.5" customHeight="1" x14ac:dyDescent="0.45">
      <c r="A8" s="182"/>
      <c r="B8" s="55" t="s">
        <v>234</v>
      </c>
      <c r="C8" s="56" t="s">
        <v>235</v>
      </c>
      <c r="D8" s="56" t="s">
        <v>236</v>
      </c>
      <c r="E8" s="55" t="s">
        <v>234</v>
      </c>
      <c r="F8" s="56" t="s">
        <v>235</v>
      </c>
      <c r="G8" s="56" t="s">
        <v>236</v>
      </c>
      <c r="H8" s="55" t="s">
        <v>234</v>
      </c>
      <c r="I8" s="56" t="s">
        <v>235</v>
      </c>
      <c r="J8" s="56" t="s">
        <v>236</v>
      </c>
      <c r="K8" s="55" t="s">
        <v>234</v>
      </c>
      <c r="L8" s="56" t="s">
        <v>235</v>
      </c>
      <c r="M8" s="56" t="s">
        <v>236</v>
      </c>
    </row>
    <row r="9" spans="1:13" ht="15" customHeight="1" x14ac:dyDescent="0.45">
      <c r="A9" s="57" t="s">
        <v>237</v>
      </c>
      <c r="B9" s="57" t="s">
        <v>238</v>
      </c>
      <c r="C9" s="58">
        <f>E29</f>
        <v>72500</v>
      </c>
      <c r="D9" s="59">
        <f>D29</f>
        <v>50000</v>
      </c>
      <c r="E9" s="57"/>
      <c r="F9" s="6"/>
      <c r="G9" s="60"/>
      <c r="H9" s="57"/>
      <c r="I9" s="6"/>
      <c r="J9" s="60"/>
      <c r="K9" s="57"/>
      <c r="L9" s="6"/>
      <c r="M9" s="60"/>
    </row>
    <row r="10" spans="1:13" ht="15" customHeight="1" x14ac:dyDescent="0.45">
      <c r="A10" s="57" t="s">
        <v>239</v>
      </c>
      <c r="E10" s="57" t="s">
        <v>240</v>
      </c>
      <c r="F10" s="58">
        <f>E29</f>
        <v>72500</v>
      </c>
      <c r="G10" s="59">
        <f>D29</f>
        <v>50000</v>
      </c>
      <c r="H10" s="57"/>
      <c r="I10" s="6"/>
      <c r="J10" s="60"/>
      <c r="K10" s="57"/>
      <c r="L10" s="6"/>
      <c r="M10" s="60"/>
    </row>
    <row r="11" spans="1:13" ht="15" customHeight="1" x14ac:dyDescent="0.45">
      <c r="A11" s="57" t="s">
        <v>241</v>
      </c>
      <c r="B11" s="61"/>
      <c r="C11" s="61"/>
      <c r="D11" s="61"/>
      <c r="E11" s="57" t="s">
        <v>242</v>
      </c>
      <c r="F11" s="58">
        <f>E29</f>
        <v>72500</v>
      </c>
      <c r="G11" s="59">
        <f>D29</f>
        <v>50000</v>
      </c>
      <c r="H11" s="57"/>
      <c r="I11" s="62"/>
      <c r="J11" s="63"/>
      <c r="K11" s="57"/>
      <c r="L11" s="62"/>
      <c r="M11" s="63"/>
    </row>
    <row r="12" spans="1:13" ht="15" customHeight="1" x14ac:dyDescent="0.45">
      <c r="A12" s="57"/>
      <c r="B12" s="61"/>
      <c r="C12" s="61"/>
      <c r="D12" s="61"/>
      <c r="E12" s="57"/>
      <c r="F12" s="62"/>
      <c r="G12" s="63"/>
      <c r="H12" s="57"/>
      <c r="I12" s="62"/>
      <c r="J12" s="63"/>
      <c r="K12" s="57"/>
      <c r="L12" s="62"/>
      <c r="M12" s="63"/>
    </row>
    <row r="13" spans="1:13" ht="15" customHeight="1" x14ac:dyDescent="0.45">
      <c r="A13" s="57" t="s">
        <v>243</v>
      </c>
      <c r="B13" s="61"/>
      <c r="C13" s="61"/>
      <c r="D13" s="61"/>
      <c r="E13" s="57" t="s">
        <v>244</v>
      </c>
      <c r="F13" s="58">
        <f>E29</f>
        <v>72500</v>
      </c>
      <c r="G13" s="59">
        <f>D29</f>
        <v>50000</v>
      </c>
      <c r="H13" s="57"/>
      <c r="I13" s="62"/>
      <c r="J13" s="63"/>
      <c r="K13" s="57"/>
      <c r="L13" s="62"/>
      <c r="M13" s="63"/>
    </row>
    <row r="14" spans="1:13" ht="15" customHeight="1" x14ac:dyDescent="0.45">
      <c r="A14" s="57" t="s">
        <v>245</v>
      </c>
      <c r="B14" s="57"/>
      <c r="C14" s="64"/>
      <c r="D14" s="65"/>
      <c r="H14" s="57" t="s">
        <v>246</v>
      </c>
      <c r="I14" s="66">
        <f>E29</f>
        <v>72500</v>
      </c>
      <c r="J14" s="58">
        <f>D29</f>
        <v>50000</v>
      </c>
      <c r="K14" s="57"/>
      <c r="L14" s="67"/>
      <c r="M14" s="60"/>
    </row>
    <row r="15" spans="1:13" ht="15" customHeight="1" x14ac:dyDescent="0.45">
      <c r="A15" s="57" t="s">
        <v>247</v>
      </c>
      <c r="B15" s="57"/>
      <c r="C15" s="64"/>
      <c r="D15" s="65"/>
      <c r="E15" s="57"/>
      <c r="F15" s="6"/>
      <c r="G15" s="60"/>
      <c r="H15" s="57" t="s">
        <v>248</v>
      </c>
      <c r="I15" s="68">
        <f>E29</f>
        <v>72500</v>
      </c>
      <c r="J15" s="58">
        <f>D29</f>
        <v>50000</v>
      </c>
      <c r="K15" s="57"/>
      <c r="L15" s="69"/>
      <c r="M15" s="62"/>
    </row>
    <row r="16" spans="1:13" ht="15" customHeight="1" x14ac:dyDescent="0.45">
      <c r="A16" s="57"/>
      <c r="B16" s="57"/>
      <c r="C16" s="64"/>
      <c r="D16" s="65"/>
      <c r="E16" s="57"/>
      <c r="F16" s="6"/>
      <c r="G16" s="60"/>
      <c r="H16" s="57"/>
      <c r="I16" s="69"/>
      <c r="J16" s="62"/>
      <c r="K16" s="57"/>
      <c r="L16" s="69"/>
      <c r="M16" s="62"/>
    </row>
    <row r="17" spans="1:13" ht="15" customHeight="1" x14ac:dyDescent="0.45">
      <c r="A17" s="57" t="s">
        <v>249</v>
      </c>
      <c r="B17" s="57"/>
      <c r="C17" s="64"/>
      <c r="D17" s="65"/>
      <c r="E17" s="57"/>
      <c r="F17" s="6"/>
      <c r="G17" s="60"/>
      <c r="H17" s="57" t="s">
        <v>250</v>
      </c>
      <c r="I17" s="68">
        <f>E29</f>
        <v>72500</v>
      </c>
      <c r="J17" s="58">
        <f>D29</f>
        <v>50000</v>
      </c>
      <c r="K17" s="57"/>
      <c r="L17" s="69"/>
      <c r="M17" s="62"/>
    </row>
    <row r="18" spans="1:13" ht="15" customHeight="1" x14ac:dyDescent="0.45">
      <c r="A18" s="57" t="s">
        <v>251</v>
      </c>
      <c r="B18" s="57"/>
      <c r="C18" s="64"/>
      <c r="D18" s="65"/>
      <c r="E18" s="57"/>
      <c r="F18" s="6"/>
      <c r="G18" s="60"/>
      <c r="K18" s="57" t="s">
        <v>252</v>
      </c>
      <c r="L18" s="68">
        <f>E29</f>
        <v>72500</v>
      </c>
      <c r="M18" s="58">
        <f>D29</f>
        <v>50000</v>
      </c>
    </row>
    <row r="19" spans="1:13" ht="15" customHeight="1" x14ac:dyDescent="0.45">
      <c r="A19" s="57" t="s">
        <v>253</v>
      </c>
      <c r="B19" s="57"/>
      <c r="C19" s="64"/>
      <c r="D19" s="65"/>
      <c r="E19" s="57"/>
      <c r="F19" s="6"/>
      <c r="G19" s="60"/>
      <c r="H19" s="57"/>
      <c r="I19" s="67"/>
      <c r="J19" s="62"/>
      <c r="K19" s="57" t="s">
        <v>254</v>
      </c>
      <c r="L19" s="66">
        <f>E29</f>
        <v>72500</v>
      </c>
      <c r="M19" s="58">
        <f>D29</f>
        <v>50000</v>
      </c>
    </row>
    <row r="20" spans="1:13" ht="15" customHeight="1" x14ac:dyDescent="0.45">
      <c r="A20" s="57"/>
      <c r="B20" s="57"/>
      <c r="C20" s="64"/>
      <c r="D20" s="65"/>
      <c r="E20" s="57"/>
      <c r="F20" s="6"/>
      <c r="G20" s="60"/>
      <c r="H20" s="57"/>
      <c r="I20" s="67"/>
      <c r="J20" s="62"/>
      <c r="K20" s="57"/>
      <c r="L20" s="67"/>
      <c r="M20" s="62"/>
    </row>
    <row r="21" spans="1:13" ht="15" customHeight="1" x14ac:dyDescent="0.45">
      <c r="A21" s="57" t="s">
        <v>255</v>
      </c>
      <c r="B21" s="57"/>
      <c r="C21" s="64"/>
      <c r="D21" s="65"/>
      <c r="E21" s="57"/>
      <c r="F21" s="6"/>
      <c r="G21" s="60"/>
      <c r="H21" s="57"/>
      <c r="I21" s="67"/>
      <c r="J21" s="62"/>
      <c r="K21" s="57" t="s">
        <v>256</v>
      </c>
      <c r="L21" s="66">
        <f>E29</f>
        <v>72500</v>
      </c>
      <c r="M21" s="58">
        <f>D29</f>
        <v>50000</v>
      </c>
    </row>
    <row r="22" spans="1:13" ht="15" customHeight="1" x14ac:dyDescent="0.45">
      <c r="A22" s="57"/>
      <c r="B22" s="57"/>
      <c r="C22" s="70">
        <f>SUM(C9:C21)</f>
        <v>72500</v>
      </c>
      <c r="D22" s="70">
        <f>SUM(D9:D21)</f>
        <v>50000</v>
      </c>
      <c r="E22" s="57"/>
      <c r="F22" s="70">
        <f>SUM(F9:F21)</f>
        <v>217500</v>
      </c>
      <c r="G22" s="70">
        <f>SUM(G9:G21)</f>
        <v>150000</v>
      </c>
      <c r="H22" s="57"/>
      <c r="I22" s="70">
        <f>SUM(I9:I21)</f>
        <v>217500</v>
      </c>
      <c r="J22" s="70">
        <f>SUM(J9:J21)</f>
        <v>150000</v>
      </c>
      <c r="K22" s="57"/>
      <c r="L22" s="70">
        <f>SUM(L9:L21)</f>
        <v>217500</v>
      </c>
      <c r="M22" s="70">
        <f>SUM(M9:M21)</f>
        <v>150000</v>
      </c>
    </row>
    <row r="25" spans="1:13" ht="15" customHeight="1" x14ac:dyDescent="0.45">
      <c r="A25" s="54" t="s">
        <v>257</v>
      </c>
    </row>
    <row r="26" spans="1:13" ht="30" customHeight="1" x14ac:dyDescent="0.45">
      <c r="A26" s="71" t="s">
        <v>258</v>
      </c>
      <c r="B26" s="71" t="s">
        <v>259</v>
      </c>
      <c r="C26" s="71" t="s">
        <v>260</v>
      </c>
      <c r="D26" s="71" t="s">
        <v>261</v>
      </c>
      <c r="E26" s="71" t="s">
        <v>262</v>
      </c>
      <c r="F26" s="72" t="str">
        <f>"Note: "&amp;D26</f>
        <v>Note: Fish Production (kg)</v>
      </c>
      <c r="G26" s="73"/>
      <c r="H26" s="73"/>
      <c r="I26" s="73"/>
      <c r="J26" s="74"/>
    </row>
    <row r="27" spans="1:13" ht="15" customHeight="1" x14ac:dyDescent="0.45">
      <c r="A27" s="61" t="s">
        <v>263</v>
      </c>
      <c r="B27" s="75">
        <v>100000</v>
      </c>
      <c r="C27" s="76">
        <v>1.3</v>
      </c>
      <c r="D27" s="59">
        <f>B27/4</f>
        <v>25000</v>
      </c>
      <c r="E27" s="59">
        <f>C27*D27</f>
        <v>32500</v>
      </c>
      <c r="F27" s="77" t="s">
        <v>264</v>
      </c>
      <c r="G27" s="73"/>
      <c r="H27" s="73"/>
      <c r="I27" s="73"/>
      <c r="J27" s="74"/>
    </row>
    <row r="28" spans="1:13" ht="15" customHeight="1" x14ac:dyDescent="0.45">
      <c r="A28" s="61" t="s">
        <v>265</v>
      </c>
      <c r="B28" s="75">
        <v>50000</v>
      </c>
      <c r="C28" s="76">
        <v>1.6</v>
      </c>
      <c r="D28" s="59">
        <f>B28/2</f>
        <v>25000</v>
      </c>
      <c r="E28" s="59">
        <f>C28*D28</f>
        <v>40000</v>
      </c>
      <c r="F28" s="77" t="s">
        <v>264</v>
      </c>
      <c r="G28" s="73"/>
      <c r="H28" s="73"/>
      <c r="I28" s="73"/>
      <c r="J28" s="74"/>
    </row>
    <row r="29" spans="1:13" ht="15" customHeight="1" x14ac:dyDescent="0.45">
      <c r="A29" s="65"/>
      <c r="B29" s="78">
        <f>SUM(B27:B28)</f>
        <v>150000</v>
      </c>
      <c r="C29" s="79"/>
      <c r="D29" s="78">
        <f>SUM(D27:D28)</f>
        <v>50000</v>
      </c>
      <c r="E29" s="78">
        <f>SUM(E27:E28)</f>
        <v>72500</v>
      </c>
      <c r="F29" s="77"/>
      <c r="G29" s="73"/>
      <c r="H29" s="73"/>
      <c r="I29" s="73"/>
      <c r="J29" s="74"/>
    </row>
    <row r="31" spans="1:13" ht="15" customHeight="1" x14ac:dyDescent="0.45">
      <c r="A31" s="54" t="s">
        <v>266</v>
      </c>
    </row>
    <row r="32" spans="1:13" ht="15" customHeight="1" x14ac:dyDescent="0.45">
      <c r="A32" s="80" t="s">
        <v>267</v>
      </c>
      <c r="B32" s="73"/>
      <c r="C32" s="73"/>
      <c r="D32" s="73"/>
      <c r="E32" s="81" t="s">
        <v>268</v>
      </c>
    </row>
    <row r="33" spans="1:16" ht="15" customHeight="1" x14ac:dyDescent="0.45">
      <c r="A33" s="77" t="s">
        <v>269</v>
      </c>
      <c r="B33" s="73"/>
      <c r="C33" s="73"/>
      <c r="D33" s="73"/>
      <c r="E33" s="59">
        <f>E29*5%</f>
        <v>3625</v>
      </c>
    </row>
    <row r="34" spans="1:16" ht="15" customHeight="1" x14ac:dyDescent="0.45">
      <c r="A34" s="77" t="s">
        <v>270</v>
      </c>
      <c r="B34" s="73"/>
      <c r="C34" s="73"/>
      <c r="D34" s="73"/>
      <c r="E34" s="59">
        <f>E29*15%</f>
        <v>10875</v>
      </c>
    </row>
    <row r="35" spans="1:16" ht="15" customHeight="1" x14ac:dyDescent="0.45">
      <c r="A35" s="77" t="s">
        <v>271</v>
      </c>
      <c r="B35" s="73"/>
      <c r="C35" s="73"/>
      <c r="D35" s="73"/>
      <c r="E35" s="59">
        <f>E29*80%</f>
        <v>58000</v>
      </c>
    </row>
    <row r="36" spans="1:16" ht="15" customHeight="1" x14ac:dyDescent="0.45">
      <c r="A36" s="80" t="s">
        <v>272</v>
      </c>
      <c r="B36" s="82"/>
      <c r="C36" s="82"/>
      <c r="D36" s="82"/>
      <c r="E36" s="78">
        <f>SUM(E33:E35)</f>
        <v>72500</v>
      </c>
      <c r="F36" s="83">
        <v>3</v>
      </c>
      <c r="G36" s="84">
        <f>E36*F36</f>
        <v>217500</v>
      </c>
    </row>
    <row r="38" spans="1:16" ht="15" customHeight="1" x14ac:dyDescent="0.45">
      <c r="A38" s="54" t="s">
        <v>273</v>
      </c>
      <c r="E38" s="181" t="s">
        <v>274</v>
      </c>
      <c r="F38" s="181"/>
      <c r="G38" s="181"/>
      <c r="H38" s="181"/>
    </row>
    <row r="39" spans="1:16" ht="15" customHeight="1" x14ac:dyDescent="0.45">
      <c r="A39" s="80" t="s">
        <v>267</v>
      </c>
      <c r="B39" s="73"/>
      <c r="C39" s="73"/>
      <c r="D39" s="73"/>
      <c r="E39" s="5" t="s">
        <v>230</v>
      </c>
      <c r="F39" s="5" t="s">
        <v>231</v>
      </c>
      <c r="G39" s="5" t="s">
        <v>232</v>
      </c>
      <c r="H39" s="5" t="s">
        <v>233</v>
      </c>
    </row>
    <row r="40" spans="1:16" ht="15" customHeight="1" x14ac:dyDescent="0.45">
      <c r="A40" s="77" t="s">
        <v>269</v>
      </c>
      <c r="B40" s="73"/>
      <c r="C40" s="73"/>
      <c r="D40" s="73"/>
      <c r="E40" s="59">
        <f>C22*5%</f>
        <v>3625</v>
      </c>
      <c r="F40" s="59">
        <f>F22*5%</f>
        <v>10875</v>
      </c>
      <c r="G40" s="59">
        <f>I22*5%</f>
        <v>10875</v>
      </c>
      <c r="H40" s="59">
        <f>L22*5%</f>
        <v>10875</v>
      </c>
    </row>
    <row r="41" spans="1:16" ht="15" customHeight="1" x14ac:dyDescent="0.45">
      <c r="A41" s="77" t="s">
        <v>275</v>
      </c>
      <c r="B41" s="73"/>
      <c r="C41" s="73"/>
      <c r="D41" s="73"/>
      <c r="E41" s="59">
        <f>C22*15%</f>
        <v>10875</v>
      </c>
      <c r="F41" s="59">
        <f>F22*15%</f>
        <v>32625</v>
      </c>
      <c r="G41" s="59">
        <f>I22*15%</f>
        <v>32625</v>
      </c>
      <c r="H41" s="59">
        <f>L22*15%</f>
        <v>32625</v>
      </c>
    </row>
    <row r="42" spans="1:16" ht="15" customHeight="1" x14ac:dyDescent="0.45">
      <c r="A42" s="77" t="s">
        <v>271</v>
      </c>
      <c r="B42" s="73"/>
      <c r="C42" s="73"/>
      <c r="D42" s="73"/>
      <c r="E42" s="59">
        <f>C22*80%</f>
        <v>58000</v>
      </c>
      <c r="F42" s="59">
        <f>F22*80%</f>
        <v>174000</v>
      </c>
      <c r="G42" s="59">
        <f>I22*80%</f>
        <v>174000</v>
      </c>
      <c r="H42" s="59">
        <f>L22*80%</f>
        <v>174000</v>
      </c>
    </row>
    <row r="43" spans="1:16" ht="15" customHeight="1" x14ac:dyDescent="0.45">
      <c r="A43" s="80" t="s">
        <v>272</v>
      </c>
      <c r="B43" s="82"/>
      <c r="C43" s="82"/>
      <c r="D43" s="82"/>
      <c r="E43" s="78">
        <f>SUM(E40:E42)</f>
        <v>72500</v>
      </c>
      <c r="F43" s="78">
        <f>SUM(F40:F42)</f>
        <v>217500</v>
      </c>
      <c r="G43" s="78">
        <f>SUM(G40:G42)</f>
        <v>217500</v>
      </c>
      <c r="H43" s="78">
        <f>SUM(H40:H42)</f>
        <v>217500</v>
      </c>
    </row>
    <row r="44" spans="1:16" ht="15" customHeight="1" x14ac:dyDescent="0.45">
      <c r="A44" s="54"/>
      <c r="B44" s="54"/>
      <c r="C44" s="54"/>
      <c r="D44" s="54"/>
      <c r="E44" s="85"/>
    </row>
    <row r="45" spans="1:16" ht="15" customHeight="1" x14ac:dyDescent="0.45">
      <c r="A45" s="54"/>
      <c r="B45" s="54"/>
      <c r="C45" s="54"/>
      <c r="D45" s="54"/>
      <c r="E45" s="85"/>
    </row>
    <row r="46" spans="1:16" ht="15" customHeight="1" x14ac:dyDescent="0.45">
      <c r="A46" s="54" t="s">
        <v>276</v>
      </c>
    </row>
    <row r="47" spans="1:16" ht="15" customHeight="1" x14ac:dyDescent="0.45">
      <c r="A47" s="179" t="s">
        <v>277</v>
      </c>
      <c r="B47" s="179" t="s">
        <v>230</v>
      </c>
      <c r="C47" s="179"/>
      <c r="D47" s="179"/>
      <c r="E47" s="179" t="s">
        <v>231</v>
      </c>
      <c r="F47" s="179"/>
      <c r="G47" s="179"/>
      <c r="H47" s="179" t="s">
        <v>232</v>
      </c>
      <c r="I47" s="179"/>
      <c r="J47" s="179"/>
      <c r="K47" s="179" t="s">
        <v>278</v>
      </c>
      <c r="L47" s="179"/>
      <c r="M47" s="179"/>
      <c r="N47" s="180" t="s">
        <v>279</v>
      </c>
      <c r="O47" s="180"/>
      <c r="P47" s="180"/>
    </row>
    <row r="48" spans="1:16" ht="15" customHeight="1" x14ac:dyDescent="0.45">
      <c r="A48" s="179"/>
      <c r="B48" s="81" t="s">
        <v>268</v>
      </c>
      <c r="C48" s="81" t="s">
        <v>280</v>
      </c>
      <c r="D48" s="81" t="s">
        <v>281</v>
      </c>
      <c r="E48" s="81" t="s">
        <v>268</v>
      </c>
      <c r="F48" s="81" t="s">
        <v>280</v>
      </c>
      <c r="G48" s="81" t="s">
        <v>281</v>
      </c>
      <c r="H48" s="81" t="s">
        <v>268</v>
      </c>
      <c r="I48" s="81" t="s">
        <v>280</v>
      </c>
      <c r="J48" s="81" t="s">
        <v>281</v>
      </c>
      <c r="K48" s="81" t="s">
        <v>268</v>
      </c>
      <c r="L48" s="81" t="s">
        <v>280</v>
      </c>
      <c r="M48" s="81" t="s">
        <v>281</v>
      </c>
      <c r="N48" s="4" t="s">
        <v>268</v>
      </c>
      <c r="O48" s="4" t="s">
        <v>280</v>
      </c>
      <c r="P48" s="4" t="s">
        <v>281</v>
      </c>
    </row>
    <row r="49" spans="1:16" ht="15" customHeight="1" x14ac:dyDescent="0.45">
      <c r="A49" s="61" t="s">
        <v>282</v>
      </c>
      <c r="B49" s="84">
        <f>B29+(B29*$D$52)</f>
        <v>195000</v>
      </c>
      <c r="C49" s="86">
        <f>D49/B49</f>
        <v>4</v>
      </c>
      <c r="D49" s="59">
        <f>B53*($B$27*$B$52+$B$28*$C$52)*(1+$D$52)</f>
        <v>780000</v>
      </c>
      <c r="E49" s="84">
        <f>(B29*3)+(B29*3)*$D$52</f>
        <v>585000</v>
      </c>
      <c r="F49" s="86">
        <f>G49/E49</f>
        <v>2</v>
      </c>
      <c r="G49" s="59">
        <f>E53*($B$27*$B$52+$B$28*$C$52)*(1+$D$52)</f>
        <v>1170000</v>
      </c>
      <c r="H49" s="84">
        <f>E49</f>
        <v>585000</v>
      </c>
      <c r="I49" s="86">
        <f>J49/H49</f>
        <v>2</v>
      </c>
      <c r="J49" s="59">
        <f>H53*($B$27*$B$52+$B$28*$C$52)*(1+$D$52)</f>
        <v>1170000</v>
      </c>
      <c r="K49" s="84">
        <f>H49</f>
        <v>585000</v>
      </c>
      <c r="L49" s="86">
        <f>M49/K49</f>
        <v>2</v>
      </c>
      <c r="M49" s="59">
        <f>K53*($B$27*$B$52+$B$28*$C$52)*(1+$D$52)</f>
        <v>1170000</v>
      </c>
      <c r="N49" s="87">
        <f>K49</f>
        <v>585000</v>
      </c>
      <c r="O49" s="88">
        <f>P49/N49</f>
        <v>2</v>
      </c>
      <c r="P49" s="89">
        <f>N53*($B$27*$B$52+$B$28*$C$52)*(1+$D$52)</f>
        <v>1170000</v>
      </c>
    </row>
    <row r="50" spans="1:16" ht="15" customHeight="1" x14ac:dyDescent="0.45">
      <c r="A50" s="61" t="s">
        <v>283</v>
      </c>
      <c r="B50" s="59">
        <f>E43</f>
        <v>72500</v>
      </c>
      <c r="C50" s="76">
        <v>40</v>
      </c>
      <c r="D50" s="59">
        <f>B50*C50</f>
        <v>2900000</v>
      </c>
      <c r="E50" s="84">
        <f>F43</f>
        <v>217500</v>
      </c>
      <c r="F50" s="88">
        <f>C50*(1+Assumptions!$D$22)</f>
        <v>42</v>
      </c>
      <c r="G50" s="59">
        <f>E50*F50</f>
        <v>9135000</v>
      </c>
      <c r="H50" s="84">
        <f>G43</f>
        <v>217500</v>
      </c>
      <c r="I50" s="88">
        <f>F50*(1+Assumptions!$D$22)</f>
        <v>44.1</v>
      </c>
      <c r="J50" s="59">
        <f>H50*I50</f>
        <v>9591750</v>
      </c>
      <c r="K50" s="84">
        <f>H43</f>
        <v>217500</v>
      </c>
      <c r="L50" s="88">
        <f>I50*(1+Assumptions!$D$22)</f>
        <v>46.305000000000007</v>
      </c>
      <c r="M50" s="59">
        <f>K50*L50</f>
        <v>10071337.500000002</v>
      </c>
      <c r="N50" s="87">
        <f>K50</f>
        <v>217500</v>
      </c>
      <c r="O50" s="88">
        <f>L50*(1+Assumptions!$D$22)</f>
        <v>48.620250000000006</v>
      </c>
      <c r="P50" s="89">
        <f>N50*O50</f>
        <v>10574904.375000002</v>
      </c>
    </row>
    <row r="51" spans="1:16" ht="15" customHeight="1" x14ac:dyDescent="0.45">
      <c r="A51" s="65" t="s">
        <v>284</v>
      </c>
      <c r="B51" s="90"/>
      <c r="C51" s="79"/>
      <c r="D51" s="78">
        <f>SUM(D49:D50)</f>
        <v>3680000</v>
      </c>
      <c r="E51" s="90"/>
      <c r="F51" s="79"/>
      <c r="G51" s="78">
        <f>SUM(G49:G50)</f>
        <v>10305000</v>
      </c>
      <c r="H51" s="90"/>
      <c r="I51" s="79"/>
      <c r="J51" s="78">
        <f>SUM(J49:J50)</f>
        <v>10761750</v>
      </c>
      <c r="K51" s="90"/>
      <c r="L51" s="79"/>
      <c r="M51" s="78">
        <f>SUM(M49:M50)</f>
        <v>11241337.500000002</v>
      </c>
      <c r="N51" s="90"/>
      <c r="O51" s="79"/>
      <c r="P51" s="91">
        <f>SUM(P49:P50)</f>
        <v>11744904.375000002</v>
      </c>
    </row>
    <row r="52" spans="1:16" ht="15" customHeight="1" x14ac:dyDescent="0.45">
      <c r="A52" s="92" t="s">
        <v>285</v>
      </c>
      <c r="B52" s="83">
        <v>1</v>
      </c>
      <c r="C52" s="83">
        <v>4</v>
      </c>
      <c r="D52" s="93">
        <v>0.3</v>
      </c>
    </row>
    <row r="53" spans="1:16" ht="15" customHeight="1" x14ac:dyDescent="0.45">
      <c r="A53" s="92" t="s">
        <v>286</v>
      </c>
      <c r="B53" s="83">
        <v>2</v>
      </c>
      <c r="E53" s="83">
        <v>3</v>
      </c>
      <c r="H53" s="83">
        <v>3</v>
      </c>
      <c r="K53" s="83">
        <v>3</v>
      </c>
      <c r="N53" s="31">
        <f>K53</f>
        <v>3</v>
      </c>
    </row>
    <row r="55" spans="1:16" ht="15.4" x14ac:dyDescent="0.45">
      <c r="A55" s="94" t="s">
        <v>287</v>
      </c>
    </row>
    <row r="56" spans="1:16" x14ac:dyDescent="0.45">
      <c r="A56" s="95" t="s">
        <v>277</v>
      </c>
      <c r="B56" s="177" t="s">
        <v>230</v>
      </c>
      <c r="C56" s="177"/>
      <c r="D56" s="177"/>
      <c r="E56" s="177" t="s">
        <v>231</v>
      </c>
      <c r="F56" s="177"/>
      <c r="G56" s="177"/>
      <c r="H56" s="177" t="s">
        <v>232</v>
      </c>
      <c r="I56" s="177"/>
      <c r="J56" s="177"/>
      <c r="K56" s="177" t="s">
        <v>233</v>
      </c>
      <c r="L56" s="177"/>
      <c r="M56" s="177"/>
      <c r="N56" s="177" t="s">
        <v>279</v>
      </c>
      <c r="O56" s="177"/>
      <c r="P56" s="177"/>
    </row>
    <row r="57" spans="1:16" ht="27.75" customHeight="1" x14ac:dyDescent="0.45">
      <c r="A57" s="3"/>
      <c r="B57" s="96" t="s">
        <v>268</v>
      </c>
      <c r="C57" s="96" t="s">
        <v>288</v>
      </c>
      <c r="D57" s="96" t="s">
        <v>281</v>
      </c>
      <c r="E57" s="96" t="s">
        <v>268</v>
      </c>
      <c r="F57" s="96" t="s">
        <v>288</v>
      </c>
      <c r="G57" s="96" t="s">
        <v>281</v>
      </c>
      <c r="H57" s="96" t="s">
        <v>268</v>
      </c>
      <c r="I57" s="96" t="s">
        <v>288</v>
      </c>
      <c r="J57" s="96" t="s">
        <v>281</v>
      </c>
      <c r="K57" s="96" t="s">
        <v>268</v>
      </c>
      <c r="L57" s="96" t="s">
        <v>288</v>
      </c>
      <c r="M57" s="96" t="s">
        <v>281</v>
      </c>
      <c r="N57" s="96" t="s">
        <v>268</v>
      </c>
      <c r="O57" s="96" t="s">
        <v>288</v>
      </c>
      <c r="P57" s="96" t="s">
        <v>281</v>
      </c>
    </row>
    <row r="58" spans="1:16" x14ac:dyDescent="0.45">
      <c r="A58" s="29" t="s">
        <v>289</v>
      </c>
      <c r="B58" s="87">
        <f>I74</f>
        <v>8000</v>
      </c>
      <c r="C58" s="97">
        <v>110</v>
      </c>
      <c r="D58" s="87">
        <f>B58*C58</f>
        <v>880000</v>
      </c>
      <c r="E58" s="87">
        <f>V74</f>
        <v>75000</v>
      </c>
      <c r="F58" s="98">
        <f>C58*(1+Assumptions!$D$21)</f>
        <v>115.5</v>
      </c>
      <c r="G58" s="87">
        <f>E58*F58</f>
        <v>8662500</v>
      </c>
      <c r="H58" s="87">
        <f>AI74</f>
        <v>75000</v>
      </c>
      <c r="I58" s="98">
        <f>F58*(1+Assumptions!$D$21)</f>
        <v>121.27500000000001</v>
      </c>
      <c r="J58" s="87">
        <f>H58*I58</f>
        <v>9095625</v>
      </c>
      <c r="K58" s="87">
        <f>AV74</f>
        <v>75000</v>
      </c>
      <c r="L58" s="98">
        <f>I58*(1+Assumptions!$D$21)</f>
        <v>127.33875</v>
      </c>
      <c r="M58" s="87">
        <f>K58*L58</f>
        <v>9550406.25</v>
      </c>
      <c r="N58" s="87">
        <f>K58</f>
        <v>75000</v>
      </c>
      <c r="O58" s="98">
        <f>L58*(1+Assumptions!$D$21)</f>
        <v>133.70568750000001</v>
      </c>
      <c r="P58" s="87">
        <f>N58*O58</f>
        <v>10027926.5625</v>
      </c>
    </row>
    <row r="59" spans="1:16" x14ac:dyDescent="0.45">
      <c r="A59" s="29" t="s">
        <v>290</v>
      </c>
      <c r="B59" s="87">
        <f>I75</f>
        <v>10000</v>
      </c>
      <c r="C59" s="97">
        <v>180</v>
      </c>
      <c r="D59" s="87">
        <f>B59*C59</f>
        <v>1800000</v>
      </c>
      <c r="E59" s="87">
        <f>V75</f>
        <v>75000</v>
      </c>
      <c r="F59" s="98">
        <f>C59*(1+Assumptions!$D$21)</f>
        <v>189</v>
      </c>
      <c r="G59" s="87">
        <f>E59*F59</f>
        <v>14175000</v>
      </c>
      <c r="H59" s="87">
        <f>AI75</f>
        <v>75000</v>
      </c>
      <c r="I59" s="98">
        <f>F59*(1+Assumptions!$D$21)</f>
        <v>198.45000000000002</v>
      </c>
      <c r="J59" s="87">
        <f>H59*I59</f>
        <v>14883750.000000002</v>
      </c>
      <c r="K59" s="87">
        <f>AV75</f>
        <v>75000</v>
      </c>
      <c r="L59" s="98">
        <f>I59*(1+Assumptions!$D$21)</f>
        <v>208.37250000000003</v>
      </c>
      <c r="M59" s="87">
        <f>K59*L59</f>
        <v>15627937.500000002</v>
      </c>
      <c r="N59" s="87">
        <f>K59</f>
        <v>75000</v>
      </c>
      <c r="O59" s="98">
        <f>L59*(1+Assumptions!$D$21)</f>
        <v>218.79112500000005</v>
      </c>
      <c r="P59" s="87">
        <f>N59*O59</f>
        <v>16409334.375000004</v>
      </c>
    </row>
    <row r="60" spans="1:16" x14ac:dyDescent="0.45">
      <c r="A60" s="15" t="s">
        <v>291</v>
      </c>
      <c r="D60" s="91">
        <f>SUM(D58:D59)</f>
        <v>2680000</v>
      </c>
      <c r="G60" s="91">
        <f>SUM(G58:G59)</f>
        <v>22837500</v>
      </c>
      <c r="J60" s="91">
        <f>SUM(J58:J59)</f>
        <v>23979375</v>
      </c>
      <c r="M60" s="91">
        <f>SUM(M58:M59)</f>
        <v>25178343.75</v>
      </c>
      <c r="P60" s="91">
        <f>SUM(P58:P59)</f>
        <v>26437260.937500004</v>
      </c>
    </row>
    <row r="62" spans="1:16" ht="25.5" customHeight="1" x14ac:dyDescent="0.45">
      <c r="A62" s="178" t="s">
        <v>292</v>
      </c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</row>
    <row r="64" spans="1:16" ht="15.4" x14ac:dyDescent="0.45">
      <c r="A64" s="94" t="s">
        <v>293</v>
      </c>
    </row>
    <row r="65" spans="1:48" x14ac:dyDescent="0.45">
      <c r="A65" s="95" t="s">
        <v>294</v>
      </c>
      <c r="B65" s="11"/>
      <c r="C65" s="177" t="s">
        <v>230</v>
      </c>
      <c r="D65" s="177"/>
      <c r="E65" s="177"/>
      <c r="F65" s="177"/>
      <c r="G65" s="177"/>
      <c r="H65" s="177"/>
      <c r="I65" s="177"/>
      <c r="J65" s="177" t="s">
        <v>231</v>
      </c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 t="s">
        <v>232</v>
      </c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 t="s">
        <v>233</v>
      </c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</row>
    <row r="66" spans="1:48" x14ac:dyDescent="0.45">
      <c r="A66" s="95"/>
      <c r="B66" s="11"/>
      <c r="C66" s="99">
        <v>46388</v>
      </c>
      <c r="D66" s="99">
        <v>46419</v>
      </c>
      <c r="E66" s="99">
        <v>46447</v>
      </c>
      <c r="F66" s="99">
        <v>46478</v>
      </c>
      <c r="G66" s="99">
        <v>46508</v>
      </c>
      <c r="H66" s="99">
        <v>46539</v>
      </c>
      <c r="I66" s="3" t="s">
        <v>284</v>
      </c>
      <c r="J66" s="99">
        <v>46569</v>
      </c>
      <c r="K66" s="99">
        <v>46600</v>
      </c>
      <c r="L66" s="99">
        <v>46631</v>
      </c>
      <c r="M66" s="99">
        <v>46661</v>
      </c>
      <c r="N66" s="99">
        <v>46692</v>
      </c>
      <c r="O66" s="99">
        <v>46722</v>
      </c>
      <c r="P66" s="99">
        <v>46753</v>
      </c>
      <c r="Q66" s="99">
        <v>46784</v>
      </c>
      <c r="R66" s="99">
        <v>46813</v>
      </c>
      <c r="S66" s="99">
        <v>46844</v>
      </c>
      <c r="T66" s="99">
        <v>46874</v>
      </c>
      <c r="U66" s="99">
        <v>46905</v>
      </c>
      <c r="V66" s="3" t="s">
        <v>284</v>
      </c>
      <c r="W66" s="99">
        <v>46935</v>
      </c>
      <c r="X66" s="99">
        <v>46966</v>
      </c>
      <c r="Y66" s="99">
        <v>46997</v>
      </c>
      <c r="Z66" s="99">
        <v>47027</v>
      </c>
      <c r="AA66" s="99">
        <v>47058</v>
      </c>
      <c r="AB66" s="99">
        <v>47088</v>
      </c>
      <c r="AC66" s="99">
        <v>47119</v>
      </c>
      <c r="AD66" s="99">
        <v>47150</v>
      </c>
      <c r="AE66" s="99">
        <v>47178</v>
      </c>
      <c r="AF66" s="99">
        <v>47209</v>
      </c>
      <c r="AG66" s="99">
        <v>47239</v>
      </c>
      <c r="AH66" s="99">
        <v>47270</v>
      </c>
      <c r="AI66" s="3" t="s">
        <v>284</v>
      </c>
      <c r="AJ66" s="99">
        <v>47300</v>
      </c>
      <c r="AK66" s="99">
        <v>47331</v>
      </c>
      <c r="AL66" s="99">
        <v>47362</v>
      </c>
      <c r="AM66" s="99">
        <v>47392</v>
      </c>
      <c r="AN66" s="99">
        <v>47423</v>
      </c>
      <c r="AO66" s="99">
        <v>47453</v>
      </c>
      <c r="AP66" s="99">
        <v>47484</v>
      </c>
      <c r="AQ66" s="99">
        <v>47515</v>
      </c>
      <c r="AR66" s="99">
        <v>47543</v>
      </c>
      <c r="AS66" s="99">
        <v>47574</v>
      </c>
      <c r="AT66" s="99">
        <v>47604</v>
      </c>
      <c r="AU66" s="99">
        <v>47635</v>
      </c>
      <c r="AV66" s="3" t="s">
        <v>284</v>
      </c>
    </row>
    <row r="67" spans="1:48" x14ac:dyDescent="0.45">
      <c r="A67" s="29" t="s">
        <v>295</v>
      </c>
      <c r="B67" s="100" t="s">
        <v>296</v>
      </c>
      <c r="C67" s="87">
        <f>C74*$C$58</f>
        <v>330000</v>
      </c>
      <c r="D67" s="87">
        <f>D74*$C$58</f>
        <v>330000</v>
      </c>
      <c r="E67" s="87">
        <f>E74*$C$58</f>
        <v>220000</v>
      </c>
      <c r="I67" s="101">
        <f>SUM(C67:H67)</f>
        <v>880000</v>
      </c>
      <c r="J67" s="87">
        <f>J74*$F$58</f>
        <v>2887500</v>
      </c>
      <c r="N67" s="87">
        <f>N74*$F$58</f>
        <v>2887500</v>
      </c>
      <c r="R67" s="87">
        <f>R74*$F$58</f>
        <v>2887500</v>
      </c>
      <c r="V67" s="101">
        <f>SUM(J67:U67)</f>
        <v>8662500</v>
      </c>
      <c r="W67" s="87">
        <f>W74*$I$58</f>
        <v>3031875</v>
      </c>
      <c r="AA67" s="87">
        <f>AA74*$I$58</f>
        <v>3031875</v>
      </c>
      <c r="AE67" s="87">
        <f>AE74*$I$58</f>
        <v>3031875</v>
      </c>
      <c r="AI67" s="101">
        <f>SUM(W67:AH67)</f>
        <v>9095625</v>
      </c>
      <c r="AJ67" s="87">
        <f>AJ74*$L$58</f>
        <v>3183468.75</v>
      </c>
      <c r="AN67" s="87">
        <f>AN74*$L$58</f>
        <v>3183468.75</v>
      </c>
      <c r="AR67" s="87">
        <f>AR74*$L$58</f>
        <v>3183468.75</v>
      </c>
      <c r="AV67" s="101">
        <f>SUM(AJ67:AU67)</f>
        <v>9550406.25</v>
      </c>
    </row>
    <row r="68" spans="1:48" x14ac:dyDescent="0.45">
      <c r="A68" s="29" t="s">
        <v>297</v>
      </c>
      <c r="B68" s="100" t="s">
        <v>296</v>
      </c>
      <c r="D68" s="87">
        <f>D75*$C$59</f>
        <v>900000</v>
      </c>
      <c r="E68" s="87">
        <f>E75*$C$59</f>
        <v>900000</v>
      </c>
      <c r="I68" s="101">
        <f>SUM(C68:H68)</f>
        <v>1800000</v>
      </c>
      <c r="J68" s="87">
        <f>J75*$F$59</f>
        <v>4725000</v>
      </c>
      <c r="N68" s="87">
        <f>N75*$F$59</f>
        <v>4725000</v>
      </c>
      <c r="R68" s="87">
        <f>R75*$F$59</f>
        <v>4725000</v>
      </c>
      <c r="V68" s="101">
        <f>SUM(J68:U68)</f>
        <v>14175000</v>
      </c>
      <c r="W68" s="87">
        <f>W75*$I$59</f>
        <v>4961250</v>
      </c>
      <c r="AA68" s="87">
        <f>AA75*$I$59</f>
        <v>4961250</v>
      </c>
      <c r="AE68" s="87">
        <f>AE75*$I$59</f>
        <v>4961250</v>
      </c>
      <c r="AI68" s="101">
        <f>SUM(W68:AH68)</f>
        <v>14883750</v>
      </c>
      <c r="AJ68" s="87">
        <f>AJ75*$L$59</f>
        <v>5209312.5000000009</v>
      </c>
      <c r="AN68" s="87">
        <f>AN75*$L$59</f>
        <v>5209312.5000000009</v>
      </c>
      <c r="AR68" s="87">
        <f>AR75*$L$59</f>
        <v>5209312.5000000009</v>
      </c>
      <c r="AV68" s="101">
        <f>SUM(AJ68:AU68)</f>
        <v>15627937.500000004</v>
      </c>
    </row>
    <row r="69" spans="1:48" x14ac:dyDescent="0.45">
      <c r="A69" s="15" t="s">
        <v>298</v>
      </c>
      <c r="C69" s="102">
        <f t="shared" ref="C69:AV69" si="0">C67+C68</f>
        <v>330000</v>
      </c>
      <c r="D69" s="102">
        <f t="shared" si="0"/>
        <v>1230000</v>
      </c>
      <c r="E69" s="102">
        <f t="shared" si="0"/>
        <v>1120000</v>
      </c>
      <c r="F69" s="102">
        <f t="shared" si="0"/>
        <v>0</v>
      </c>
      <c r="G69" s="102">
        <f t="shared" si="0"/>
        <v>0</v>
      </c>
      <c r="H69" s="102">
        <f t="shared" si="0"/>
        <v>0</v>
      </c>
      <c r="I69" s="102">
        <f t="shared" si="0"/>
        <v>2680000</v>
      </c>
      <c r="J69" s="102">
        <f t="shared" si="0"/>
        <v>7612500</v>
      </c>
      <c r="K69" s="102">
        <f t="shared" si="0"/>
        <v>0</v>
      </c>
      <c r="L69" s="102">
        <f t="shared" si="0"/>
        <v>0</v>
      </c>
      <c r="M69" s="102">
        <f t="shared" si="0"/>
        <v>0</v>
      </c>
      <c r="N69" s="102">
        <f t="shared" si="0"/>
        <v>7612500</v>
      </c>
      <c r="O69" s="102">
        <f t="shared" si="0"/>
        <v>0</v>
      </c>
      <c r="P69" s="102">
        <f t="shared" si="0"/>
        <v>0</v>
      </c>
      <c r="Q69" s="102">
        <f t="shared" si="0"/>
        <v>0</v>
      </c>
      <c r="R69" s="102">
        <f t="shared" si="0"/>
        <v>7612500</v>
      </c>
      <c r="S69" s="102">
        <f t="shared" si="0"/>
        <v>0</v>
      </c>
      <c r="T69" s="102">
        <f t="shared" si="0"/>
        <v>0</v>
      </c>
      <c r="U69" s="102">
        <f t="shared" si="0"/>
        <v>0</v>
      </c>
      <c r="V69" s="102">
        <f t="shared" si="0"/>
        <v>22837500</v>
      </c>
      <c r="W69" s="102">
        <f t="shared" si="0"/>
        <v>7993125</v>
      </c>
      <c r="X69" s="102">
        <f t="shared" si="0"/>
        <v>0</v>
      </c>
      <c r="Y69" s="102">
        <f t="shared" si="0"/>
        <v>0</v>
      </c>
      <c r="Z69" s="102">
        <f t="shared" si="0"/>
        <v>0</v>
      </c>
      <c r="AA69" s="102">
        <f t="shared" si="0"/>
        <v>7993125</v>
      </c>
      <c r="AB69" s="102">
        <f t="shared" si="0"/>
        <v>0</v>
      </c>
      <c r="AC69" s="102">
        <f t="shared" si="0"/>
        <v>0</v>
      </c>
      <c r="AD69" s="102">
        <f t="shared" si="0"/>
        <v>0</v>
      </c>
      <c r="AE69" s="102">
        <f t="shared" si="0"/>
        <v>7993125</v>
      </c>
      <c r="AF69" s="102">
        <f t="shared" si="0"/>
        <v>0</v>
      </c>
      <c r="AG69" s="102">
        <f t="shared" si="0"/>
        <v>0</v>
      </c>
      <c r="AH69" s="102">
        <f t="shared" si="0"/>
        <v>0</v>
      </c>
      <c r="AI69" s="102">
        <f t="shared" si="0"/>
        <v>23979375</v>
      </c>
      <c r="AJ69" s="102">
        <f t="shared" si="0"/>
        <v>8392781.25</v>
      </c>
      <c r="AK69" s="102">
        <f t="shared" si="0"/>
        <v>0</v>
      </c>
      <c r="AL69" s="102">
        <f t="shared" si="0"/>
        <v>0</v>
      </c>
      <c r="AM69" s="102">
        <f t="shared" si="0"/>
        <v>0</v>
      </c>
      <c r="AN69" s="102">
        <f t="shared" si="0"/>
        <v>8392781.25</v>
      </c>
      <c r="AO69" s="102">
        <f t="shared" si="0"/>
        <v>0</v>
      </c>
      <c r="AP69" s="102">
        <f t="shared" si="0"/>
        <v>0</v>
      </c>
      <c r="AQ69" s="102">
        <f t="shared" si="0"/>
        <v>0</v>
      </c>
      <c r="AR69" s="102">
        <f t="shared" si="0"/>
        <v>8392781.25</v>
      </c>
      <c r="AS69" s="102">
        <f t="shared" si="0"/>
        <v>0</v>
      </c>
      <c r="AT69" s="102">
        <f t="shared" si="0"/>
        <v>0</v>
      </c>
      <c r="AU69" s="102">
        <f t="shared" si="0"/>
        <v>0</v>
      </c>
      <c r="AV69" s="102">
        <f t="shared" si="0"/>
        <v>25178343.750000004</v>
      </c>
    </row>
    <row r="71" spans="1:48" ht="15.4" x14ac:dyDescent="0.45">
      <c r="A71" s="94" t="s">
        <v>299</v>
      </c>
    </row>
    <row r="72" spans="1:48" x14ac:dyDescent="0.45">
      <c r="A72" s="95" t="s">
        <v>294</v>
      </c>
      <c r="B72" s="11"/>
      <c r="C72" s="177" t="s">
        <v>230</v>
      </c>
      <c r="D72" s="177"/>
      <c r="E72" s="177"/>
      <c r="F72" s="177"/>
      <c r="G72" s="177"/>
      <c r="H72" s="177"/>
      <c r="I72" s="177"/>
      <c r="J72" s="177" t="s">
        <v>231</v>
      </c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 t="s">
        <v>232</v>
      </c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 t="s">
        <v>233</v>
      </c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</row>
    <row r="73" spans="1:48" x14ac:dyDescent="0.45">
      <c r="A73" s="95"/>
      <c r="B73" s="11"/>
      <c r="C73" s="99">
        <v>46388</v>
      </c>
      <c r="D73" s="99">
        <v>46419</v>
      </c>
      <c r="E73" s="99">
        <v>46447</v>
      </c>
      <c r="F73" s="99">
        <v>46478</v>
      </c>
      <c r="G73" s="99">
        <v>46508</v>
      </c>
      <c r="H73" s="99">
        <v>46539</v>
      </c>
      <c r="I73" s="3" t="s">
        <v>284</v>
      </c>
      <c r="J73" s="99">
        <v>46569</v>
      </c>
      <c r="K73" s="99">
        <v>46600</v>
      </c>
      <c r="L73" s="99">
        <v>46631</v>
      </c>
      <c r="M73" s="99">
        <v>46661</v>
      </c>
      <c r="N73" s="99">
        <v>46692</v>
      </c>
      <c r="O73" s="99">
        <v>46722</v>
      </c>
      <c r="P73" s="99">
        <v>46753</v>
      </c>
      <c r="Q73" s="99">
        <v>46784</v>
      </c>
      <c r="R73" s="99">
        <v>46813</v>
      </c>
      <c r="S73" s="99">
        <v>46844</v>
      </c>
      <c r="T73" s="99">
        <v>46874</v>
      </c>
      <c r="U73" s="99">
        <v>46905</v>
      </c>
      <c r="V73" s="3" t="s">
        <v>284</v>
      </c>
      <c r="W73" s="99">
        <v>46935</v>
      </c>
      <c r="X73" s="99">
        <v>46966</v>
      </c>
      <c r="Y73" s="99">
        <v>46997</v>
      </c>
      <c r="Z73" s="99">
        <v>47027</v>
      </c>
      <c r="AA73" s="99">
        <v>47058</v>
      </c>
      <c r="AB73" s="99">
        <v>47088</v>
      </c>
      <c r="AC73" s="99">
        <v>47119</v>
      </c>
      <c r="AD73" s="99">
        <v>47150</v>
      </c>
      <c r="AE73" s="99">
        <v>47178</v>
      </c>
      <c r="AF73" s="99">
        <v>47209</v>
      </c>
      <c r="AG73" s="99">
        <v>47239</v>
      </c>
      <c r="AH73" s="99">
        <v>47270</v>
      </c>
      <c r="AI73" s="3" t="s">
        <v>284</v>
      </c>
      <c r="AJ73" s="99">
        <v>47300</v>
      </c>
      <c r="AK73" s="99">
        <v>47331</v>
      </c>
      <c r="AL73" s="99">
        <v>47362</v>
      </c>
      <c r="AM73" s="99">
        <v>47392</v>
      </c>
      <c r="AN73" s="99">
        <v>47423</v>
      </c>
      <c r="AO73" s="99">
        <v>47453</v>
      </c>
      <c r="AP73" s="99">
        <v>47484</v>
      </c>
      <c r="AQ73" s="99">
        <v>47515</v>
      </c>
      <c r="AR73" s="99">
        <v>47543</v>
      </c>
      <c r="AS73" s="99">
        <v>47574</v>
      </c>
      <c r="AT73" s="99">
        <v>47604</v>
      </c>
      <c r="AU73" s="99">
        <v>47635</v>
      </c>
      <c r="AV73" s="3" t="s">
        <v>284</v>
      </c>
    </row>
    <row r="74" spans="1:48" x14ac:dyDescent="0.45">
      <c r="A74" s="29" t="s">
        <v>289</v>
      </c>
      <c r="B74" s="100" t="s">
        <v>205</v>
      </c>
      <c r="C74" s="103">
        <f>3000</f>
        <v>3000</v>
      </c>
      <c r="D74" s="103">
        <f>3000</f>
        <v>3000</v>
      </c>
      <c r="E74" s="103">
        <f>2000</f>
        <v>2000</v>
      </c>
      <c r="I74" s="87">
        <f>SUM(C74:H74)</f>
        <v>8000</v>
      </c>
      <c r="J74" s="87">
        <f>D27</f>
        <v>25000</v>
      </c>
      <c r="N74" s="87">
        <f>J74</f>
        <v>25000</v>
      </c>
      <c r="R74" s="87">
        <f>J74</f>
        <v>25000</v>
      </c>
      <c r="V74" s="87">
        <f>SUM(J74:U74)</f>
        <v>75000</v>
      </c>
      <c r="W74" s="87">
        <f>J74</f>
        <v>25000</v>
      </c>
      <c r="AA74" s="87">
        <f>J74</f>
        <v>25000</v>
      </c>
      <c r="AE74" s="87">
        <f>J74</f>
        <v>25000</v>
      </c>
      <c r="AI74" s="87">
        <f>SUM(W74:AH74)</f>
        <v>75000</v>
      </c>
      <c r="AJ74" s="87">
        <f>J74</f>
        <v>25000</v>
      </c>
      <c r="AN74" s="87">
        <f>J74</f>
        <v>25000</v>
      </c>
      <c r="AR74" s="87">
        <f>J74</f>
        <v>25000</v>
      </c>
      <c r="AV74" s="87">
        <f>SUM(AJ74:AU74)</f>
        <v>75000</v>
      </c>
    </row>
    <row r="75" spans="1:48" x14ac:dyDescent="0.45">
      <c r="A75" s="29" t="s">
        <v>290</v>
      </c>
      <c r="B75" s="100" t="s">
        <v>205</v>
      </c>
      <c r="D75" s="103">
        <v>5000</v>
      </c>
      <c r="E75" s="103">
        <v>5000</v>
      </c>
      <c r="I75" s="87">
        <f>SUM(C75:H75)</f>
        <v>10000</v>
      </c>
      <c r="J75" s="87">
        <f>D28</f>
        <v>25000</v>
      </c>
      <c r="N75" s="87">
        <f>J75</f>
        <v>25000</v>
      </c>
      <c r="R75" s="87">
        <f>J75</f>
        <v>25000</v>
      </c>
      <c r="V75" s="87">
        <f>SUM(J75:U75)</f>
        <v>75000</v>
      </c>
      <c r="W75" s="87">
        <f>J75</f>
        <v>25000</v>
      </c>
      <c r="AA75" s="87">
        <f>J75</f>
        <v>25000</v>
      </c>
      <c r="AE75" s="87">
        <f>J75</f>
        <v>25000</v>
      </c>
      <c r="AI75" s="87">
        <f>SUM(W75:AH75)</f>
        <v>75000</v>
      </c>
      <c r="AJ75" s="87">
        <f>J75</f>
        <v>25000</v>
      </c>
      <c r="AN75" s="87">
        <f>J75</f>
        <v>25000</v>
      </c>
      <c r="AR75" s="87">
        <f>J75</f>
        <v>25000</v>
      </c>
      <c r="AV75" s="87">
        <f>SUM(AJ75:AU75)</f>
        <v>75000</v>
      </c>
    </row>
    <row r="76" spans="1:48" x14ac:dyDescent="0.45">
      <c r="A76" s="15" t="s">
        <v>300</v>
      </c>
      <c r="C76" s="102">
        <f t="shared" ref="C76:AV76" si="1">C74+C75</f>
        <v>3000</v>
      </c>
      <c r="D76" s="102">
        <f t="shared" si="1"/>
        <v>8000</v>
      </c>
      <c r="E76" s="102">
        <f t="shared" si="1"/>
        <v>7000</v>
      </c>
      <c r="F76" s="102">
        <f t="shared" si="1"/>
        <v>0</v>
      </c>
      <c r="G76" s="102">
        <f t="shared" si="1"/>
        <v>0</v>
      </c>
      <c r="H76" s="102">
        <f t="shared" si="1"/>
        <v>0</v>
      </c>
      <c r="I76" s="102">
        <f t="shared" si="1"/>
        <v>18000</v>
      </c>
      <c r="J76" s="102">
        <f t="shared" si="1"/>
        <v>50000</v>
      </c>
      <c r="K76" s="102">
        <f t="shared" si="1"/>
        <v>0</v>
      </c>
      <c r="L76" s="102">
        <f t="shared" si="1"/>
        <v>0</v>
      </c>
      <c r="M76" s="102">
        <f t="shared" si="1"/>
        <v>0</v>
      </c>
      <c r="N76" s="102">
        <f t="shared" si="1"/>
        <v>50000</v>
      </c>
      <c r="O76" s="102">
        <f t="shared" si="1"/>
        <v>0</v>
      </c>
      <c r="P76" s="102">
        <f t="shared" si="1"/>
        <v>0</v>
      </c>
      <c r="Q76" s="102">
        <f t="shared" si="1"/>
        <v>0</v>
      </c>
      <c r="R76" s="102">
        <f t="shared" si="1"/>
        <v>50000</v>
      </c>
      <c r="S76" s="102">
        <f t="shared" si="1"/>
        <v>0</v>
      </c>
      <c r="T76" s="102">
        <f t="shared" si="1"/>
        <v>0</v>
      </c>
      <c r="U76" s="102">
        <f t="shared" si="1"/>
        <v>0</v>
      </c>
      <c r="V76" s="102">
        <f t="shared" si="1"/>
        <v>150000</v>
      </c>
      <c r="W76" s="102">
        <f t="shared" si="1"/>
        <v>50000</v>
      </c>
      <c r="X76" s="102">
        <f t="shared" si="1"/>
        <v>0</v>
      </c>
      <c r="Y76" s="102">
        <f t="shared" si="1"/>
        <v>0</v>
      </c>
      <c r="Z76" s="102">
        <f t="shared" si="1"/>
        <v>0</v>
      </c>
      <c r="AA76" s="102">
        <f t="shared" si="1"/>
        <v>50000</v>
      </c>
      <c r="AB76" s="102">
        <f t="shared" si="1"/>
        <v>0</v>
      </c>
      <c r="AC76" s="102">
        <f t="shared" si="1"/>
        <v>0</v>
      </c>
      <c r="AD76" s="102">
        <f t="shared" si="1"/>
        <v>0</v>
      </c>
      <c r="AE76" s="102">
        <f t="shared" si="1"/>
        <v>50000</v>
      </c>
      <c r="AF76" s="102">
        <f t="shared" si="1"/>
        <v>0</v>
      </c>
      <c r="AG76" s="102">
        <f t="shared" si="1"/>
        <v>0</v>
      </c>
      <c r="AH76" s="102">
        <f t="shared" si="1"/>
        <v>0</v>
      </c>
      <c r="AI76" s="102">
        <f t="shared" si="1"/>
        <v>150000</v>
      </c>
      <c r="AJ76" s="102">
        <f t="shared" si="1"/>
        <v>50000</v>
      </c>
      <c r="AK76" s="102">
        <f t="shared" si="1"/>
        <v>0</v>
      </c>
      <c r="AL76" s="102">
        <f t="shared" si="1"/>
        <v>0</v>
      </c>
      <c r="AM76" s="102">
        <f t="shared" si="1"/>
        <v>0</v>
      </c>
      <c r="AN76" s="102">
        <f t="shared" si="1"/>
        <v>50000</v>
      </c>
      <c r="AO76" s="102">
        <f t="shared" si="1"/>
        <v>0</v>
      </c>
      <c r="AP76" s="102">
        <f t="shared" si="1"/>
        <v>0</v>
      </c>
      <c r="AQ76" s="102">
        <f t="shared" si="1"/>
        <v>0</v>
      </c>
      <c r="AR76" s="102">
        <f t="shared" si="1"/>
        <v>50000</v>
      </c>
      <c r="AS76" s="102">
        <f t="shared" si="1"/>
        <v>0</v>
      </c>
      <c r="AT76" s="102">
        <f t="shared" si="1"/>
        <v>0</v>
      </c>
      <c r="AU76" s="102">
        <f t="shared" si="1"/>
        <v>0</v>
      </c>
      <c r="AV76" s="102">
        <f t="shared" si="1"/>
        <v>150000</v>
      </c>
    </row>
    <row r="78" spans="1:48" x14ac:dyDescent="0.45">
      <c r="A78" s="40" t="s">
        <v>301</v>
      </c>
    </row>
  </sheetData>
  <mergeCells count="26">
    <mergeCell ref="A7:A8"/>
    <mergeCell ref="B7:D7"/>
    <mergeCell ref="E7:G7"/>
    <mergeCell ref="H7:J7"/>
    <mergeCell ref="K7:M7"/>
    <mergeCell ref="E38:H38"/>
    <mergeCell ref="A47:A48"/>
    <mergeCell ref="B47:D47"/>
    <mergeCell ref="E47:G47"/>
    <mergeCell ref="H47:J47"/>
    <mergeCell ref="K47:M47"/>
    <mergeCell ref="N47:P47"/>
    <mergeCell ref="B56:D56"/>
    <mergeCell ref="E56:G56"/>
    <mergeCell ref="H56:J56"/>
    <mergeCell ref="K56:M56"/>
    <mergeCell ref="N56:P56"/>
    <mergeCell ref="C72:I72"/>
    <mergeCell ref="J72:V72"/>
    <mergeCell ref="W72:AI72"/>
    <mergeCell ref="AJ72:AV72"/>
    <mergeCell ref="A62:P62"/>
    <mergeCell ref="C65:I65"/>
    <mergeCell ref="J65:V65"/>
    <mergeCell ref="W65:AI65"/>
    <mergeCell ref="AJ65:AV65"/>
  </mergeCells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9DB"/>
    <pageSetUpPr fitToPage="1"/>
  </sheetPr>
  <dimension ref="A2:AV78"/>
  <sheetViews>
    <sheetView showGridLines="0" topLeftCell="AI61" zoomScaleNormal="100" workbookViewId="0">
      <selection activeCell="AP66" sqref="AP66"/>
    </sheetView>
  </sheetViews>
  <sheetFormatPr defaultColWidth="8.6640625" defaultRowHeight="14.25" x14ac:dyDescent="0.45"/>
  <cols>
    <col min="1" max="1" width="34" customWidth="1"/>
    <col min="2" max="2" width="17" customWidth="1"/>
    <col min="3" max="16" width="15.53125" customWidth="1"/>
    <col min="17" max="49" width="12.46484375" customWidth="1"/>
  </cols>
  <sheetData>
    <row r="2" spans="1:10" ht="26.25" customHeight="1" x14ac:dyDescent="0.75">
      <c r="B2" s="53"/>
      <c r="D2" t="s">
        <v>302</v>
      </c>
    </row>
    <row r="3" spans="1:10" ht="15" customHeight="1" x14ac:dyDescent="0.45">
      <c r="D3" t="s">
        <v>303</v>
      </c>
    </row>
    <row r="4" spans="1:10" ht="15" customHeight="1" x14ac:dyDescent="0.45">
      <c r="A4" s="54" t="s">
        <v>304</v>
      </c>
    </row>
    <row r="5" spans="1:10" ht="15" customHeight="1" x14ac:dyDescent="0.45">
      <c r="A5" s="184" t="s">
        <v>305</v>
      </c>
      <c r="B5" s="183" t="s">
        <v>230</v>
      </c>
      <c r="C5" s="183"/>
      <c r="D5" s="183" t="s">
        <v>231</v>
      </c>
      <c r="E5" s="183"/>
      <c r="F5" s="183" t="s">
        <v>232</v>
      </c>
      <c r="G5" s="183"/>
      <c r="H5" s="183" t="s">
        <v>233</v>
      </c>
      <c r="I5" s="183"/>
    </row>
    <row r="6" spans="1:10" ht="40.5" customHeight="1" x14ac:dyDescent="0.45">
      <c r="A6" s="184"/>
      <c r="B6" s="104" t="s">
        <v>234</v>
      </c>
      <c r="C6" s="2" t="s">
        <v>306</v>
      </c>
      <c r="D6" s="104" t="s">
        <v>234</v>
      </c>
      <c r="E6" s="2" t="s">
        <v>306</v>
      </c>
      <c r="F6" s="104" t="s">
        <v>234</v>
      </c>
      <c r="G6" s="2" t="s">
        <v>306</v>
      </c>
      <c r="H6" s="104" t="s">
        <v>234</v>
      </c>
      <c r="I6" s="2" t="s">
        <v>306</v>
      </c>
    </row>
    <row r="7" spans="1:10" ht="15.75" customHeight="1" x14ac:dyDescent="0.45">
      <c r="A7" s="105"/>
      <c r="B7" s="104"/>
      <c r="C7" s="2"/>
      <c r="D7" s="57" t="s">
        <v>307</v>
      </c>
      <c r="E7" s="75">
        <v>4000000</v>
      </c>
      <c r="F7" s="57" t="s">
        <v>308</v>
      </c>
      <c r="G7" s="58">
        <f>E7*1.5</f>
        <v>6000000</v>
      </c>
      <c r="H7" s="57" t="s">
        <v>309</v>
      </c>
      <c r="I7" s="58">
        <f>E7*2</f>
        <v>8000000</v>
      </c>
    </row>
    <row r="8" spans="1:10" ht="15.75" customHeight="1" x14ac:dyDescent="0.45">
      <c r="A8" s="105"/>
      <c r="B8" s="104"/>
      <c r="C8" s="2"/>
      <c r="D8" s="57" t="s">
        <v>310</v>
      </c>
      <c r="E8" s="75">
        <v>4000000</v>
      </c>
      <c r="F8" s="57" t="s">
        <v>311</v>
      </c>
      <c r="G8" s="58">
        <f>E8*1.5</f>
        <v>6000000</v>
      </c>
      <c r="H8" s="57" t="s">
        <v>312</v>
      </c>
      <c r="I8" s="58">
        <f>E8*2</f>
        <v>8000000</v>
      </c>
    </row>
    <row r="9" spans="1:10" ht="15.75" customHeight="1" x14ac:dyDescent="0.45">
      <c r="A9" s="105"/>
      <c r="B9" s="104"/>
      <c r="C9" s="2"/>
      <c r="D9" s="57" t="s">
        <v>313</v>
      </c>
      <c r="E9" s="75">
        <v>2000000</v>
      </c>
      <c r="F9" s="57" t="s">
        <v>314</v>
      </c>
      <c r="G9" s="58">
        <f>E9*1.5</f>
        <v>3000000</v>
      </c>
      <c r="H9" s="57" t="s">
        <v>315</v>
      </c>
      <c r="I9" s="58">
        <f>E9*2</f>
        <v>4000000</v>
      </c>
    </row>
    <row r="10" spans="1:10" ht="15" customHeight="1" x14ac:dyDescent="0.45">
      <c r="A10" s="106" t="s">
        <v>237</v>
      </c>
      <c r="B10" s="57" t="s">
        <v>316</v>
      </c>
      <c r="C10" s="75">
        <v>2000000</v>
      </c>
      <c r="D10" s="57" t="s">
        <v>317</v>
      </c>
      <c r="E10" s="58">
        <f>C10*1.5</f>
        <v>3000000</v>
      </c>
      <c r="F10" s="57" t="s">
        <v>318</v>
      </c>
      <c r="G10" s="58">
        <f>C10*2</f>
        <v>4000000</v>
      </c>
      <c r="H10" s="57" t="s">
        <v>319</v>
      </c>
      <c r="I10" s="58">
        <f>G10</f>
        <v>4000000</v>
      </c>
    </row>
    <row r="11" spans="1:10" ht="15" customHeight="1" x14ac:dyDescent="0.45">
      <c r="A11" s="106" t="s">
        <v>320</v>
      </c>
      <c r="B11" s="57" t="s">
        <v>321</v>
      </c>
      <c r="C11" s="75">
        <v>4000000</v>
      </c>
      <c r="D11" s="57" t="s">
        <v>322</v>
      </c>
      <c r="E11" s="58">
        <f>C11*1.5</f>
        <v>6000000</v>
      </c>
      <c r="F11" s="57" t="s">
        <v>323</v>
      </c>
      <c r="G11" s="58">
        <f>C11*2</f>
        <v>8000000</v>
      </c>
      <c r="H11" s="57" t="s">
        <v>324</v>
      </c>
      <c r="I11" s="58">
        <f>G11</f>
        <v>8000000</v>
      </c>
    </row>
    <row r="12" spans="1:10" ht="15" customHeight="1" x14ac:dyDescent="0.45">
      <c r="A12" s="106" t="s">
        <v>325</v>
      </c>
      <c r="B12" s="57" t="s">
        <v>326</v>
      </c>
      <c r="C12" s="75">
        <v>4000000</v>
      </c>
      <c r="D12" s="57" t="s">
        <v>327</v>
      </c>
      <c r="E12" s="58">
        <f>C12*1.5</f>
        <v>6000000</v>
      </c>
      <c r="F12" s="57" t="s">
        <v>328</v>
      </c>
      <c r="G12" s="58">
        <f>C12*2</f>
        <v>8000000</v>
      </c>
      <c r="H12" s="57" t="s">
        <v>329</v>
      </c>
      <c r="I12" s="58">
        <f>G12</f>
        <v>8000000</v>
      </c>
    </row>
    <row r="13" spans="1:10" ht="15" customHeight="1" x14ac:dyDescent="0.45">
      <c r="A13" s="107" t="s">
        <v>284</v>
      </c>
      <c r="B13" s="57"/>
      <c r="C13" s="78">
        <f>SUM(C7:C12)</f>
        <v>10000000</v>
      </c>
      <c r="D13" s="57"/>
      <c r="E13" s="78">
        <f>SUM(E7:E12)</f>
        <v>25000000</v>
      </c>
      <c r="F13" s="57"/>
      <c r="G13" s="78">
        <f>SUM(G7:G12)</f>
        <v>35000000</v>
      </c>
      <c r="H13" s="57"/>
      <c r="I13" s="78">
        <f>SUM(I7:I12)</f>
        <v>40000000</v>
      </c>
    </row>
    <row r="14" spans="1:10" ht="15" customHeight="1" x14ac:dyDescent="0.45">
      <c r="A14" s="108"/>
      <c r="B14" s="108"/>
      <c r="C14" s="109"/>
      <c r="D14" s="54"/>
      <c r="E14" s="108"/>
      <c r="F14" s="110"/>
      <c r="G14" s="111"/>
      <c r="H14" s="108"/>
      <c r="I14" s="110"/>
      <c r="J14" s="111"/>
    </row>
    <row r="15" spans="1:10" ht="15" customHeight="1" x14ac:dyDescent="0.45">
      <c r="A15" s="108"/>
      <c r="B15" s="108"/>
      <c r="C15" s="109"/>
      <c r="D15" s="54"/>
      <c r="E15" s="108"/>
      <c r="F15" s="110"/>
      <c r="G15" s="111"/>
      <c r="H15" s="108"/>
      <c r="I15" s="110"/>
      <c r="J15" s="111"/>
    </row>
    <row r="16" spans="1:10" ht="15" customHeight="1" x14ac:dyDescent="0.45">
      <c r="A16" s="112" t="s">
        <v>330</v>
      </c>
      <c r="B16" s="108"/>
      <c r="C16" s="109"/>
      <c r="D16" s="54"/>
      <c r="E16" s="108"/>
      <c r="F16" s="110"/>
      <c r="G16" s="111"/>
      <c r="H16" s="108"/>
      <c r="I16" s="110"/>
      <c r="J16" s="111"/>
    </row>
    <row r="17" spans="1:12" ht="15" customHeight="1" x14ac:dyDescent="0.45">
      <c r="A17" s="184" t="s">
        <v>305</v>
      </c>
      <c r="B17" s="183" t="s">
        <v>331</v>
      </c>
      <c r="C17" s="183"/>
      <c r="D17" s="183" t="s">
        <v>332</v>
      </c>
      <c r="E17" s="183"/>
      <c r="F17" s="183" t="s">
        <v>333</v>
      </c>
      <c r="G17" s="183"/>
    </row>
    <row r="18" spans="1:12" ht="40.5" customHeight="1" x14ac:dyDescent="0.45">
      <c r="A18" s="184"/>
      <c r="B18" s="104" t="s">
        <v>234</v>
      </c>
      <c r="C18" s="2" t="s">
        <v>334</v>
      </c>
      <c r="D18" s="104" t="s">
        <v>234</v>
      </c>
      <c r="E18" s="2" t="s">
        <v>306</v>
      </c>
      <c r="F18" s="104" t="s">
        <v>234</v>
      </c>
      <c r="G18" s="2" t="s">
        <v>306</v>
      </c>
    </row>
    <row r="19" spans="1:12" ht="15" customHeight="1" x14ac:dyDescent="0.45">
      <c r="A19" s="106" t="s">
        <v>335</v>
      </c>
      <c r="B19" s="57" t="s">
        <v>336</v>
      </c>
      <c r="C19" s="113">
        <v>1000</v>
      </c>
      <c r="D19" s="57"/>
      <c r="E19" s="114">
        <f>C19*2.5</f>
        <v>2500</v>
      </c>
      <c r="F19" s="57"/>
      <c r="G19" s="114">
        <f>E19*1.6</f>
        <v>4000</v>
      </c>
    </row>
    <row r="20" spans="1:12" ht="15" customHeight="1" x14ac:dyDescent="0.45">
      <c r="A20" s="57"/>
      <c r="B20" s="57"/>
      <c r="C20" s="65"/>
      <c r="D20" s="57"/>
      <c r="E20" s="60"/>
      <c r="F20" s="57"/>
      <c r="G20" s="60"/>
    </row>
    <row r="21" spans="1:12" ht="15" customHeight="1" x14ac:dyDescent="0.45">
      <c r="A21" s="57" t="s">
        <v>284</v>
      </c>
      <c r="B21" s="57"/>
      <c r="C21" s="70">
        <f>SUM(C19:C20)</f>
        <v>1000</v>
      </c>
      <c r="D21" s="57"/>
      <c r="E21" s="70">
        <f>SUM(E19:E20)</f>
        <v>2500</v>
      </c>
      <c r="F21" s="57"/>
      <c r="G21" s="70">
        <f>SUM(G19:G20)</f>
        <v>4000</v>
      </c>
    </row>
    <row r="25" spans="1:12" ht="15" customHeight="1" x14ac:dyDescent="0.45">
      <c r="A25" s="54" t="s">
        <v>337</v>
      </c>
    </row>
    <row r="26" spans="1:12" ht="30" customHeight="1" x14ac:dyDescent="0.45">
      <c r="A26" s="71" t="s">
        <v>258</v>
      </c>
      <c r="B26" s="71" t="s">
        <v>338</v>
      </c>
      <c r="C26" s="71" t="s">
        <v>260</v>
      </c>
      <c r="D26" s="71" t="s">
        <v>339</v>
      </c>
      <c r="E26" s="71" t="s">
        <v>262</v>
      </c>
      <c r="F26" s="115" t="s">
        <v>340</v>
      </c>
      <c r="G26" s="115" t="s">
        <v>281</v>
      </c>
      <c r="H26" s="72" t="str">
        <f>"Note: "&amp;D26</f>
        <v>Note: Fry Production (kg)</v>
      </c>
      <c r="I26" s="73"/>
      <c r="J26" s="73"/>
      <c r="K26" s="73"/>
      <c r="L26" s="74"/>
    </row>
    <row r="27" spans="1:12" ht="15" customHeight="1" x14ac:dyDescent="0.45">
      <c r="A27" s="61" t="s">
        <v>341</v>
      </c>
      <c r="B27" s="75">
        <v>20000000</v>
      </c>
      <c r="C27" s="76">
        <v>1</v>
      </c>
      <c r="D27" s="59">
        <f>B27/3333</f>
        <v>6000.6000600060006</v>
      </c>
      <c r="E27" s="59">
        <f>C27*D27</f>
        <v>6000.6000600060006</v>
      </c>
      <c r="F27" s="116">
        <v>70</v>
      </c>
      <c r="G27" s="117">
        <f>E27*F27</f>
        <v>420042.00420042005</v>
      </c>
      <c r="H27" s="77" t="s">
        <v>264</v>
      </c>
      <c r="I27" s="73"/>
      <c r="J27" s="73"/>
      <c r="K27" s="73"/>
      <c r="L27" s="74"/>
    </row>
    <row r="28" spans="1:12" ht="15" customHeight="1" x14ac:dyDescent="0.45">
      <c r="A28" s="61" t="s">
        <v>342</v>
      </c>
      <c r="B28" s="75">
        <v>60000</v>
      </c>
      <c r="C28" s="118">
        <v>1.3</v>
      </c>
      <c r="D28" s="59">
        <f>B28/4</f>
        <v>15000</v>
      </c>
      <c r="E28" s="59">
        <f>B28*0.25*C28</f>
        <v>19500</v>
      </c>
      <c r="F28" s="116">
        <v>40</v>
      </c>
      <c r="G28" s="117">
        <f>E28*F28</f>
        <v>780000</v>
      </c>
      <c r="H28" s="119" t="s">
        <v>343</v>
      </c>
      <c r="I28" s="73"/>
      <c r="J28" s="73"/>
      <c r="K28" s="73"/>
      <c r="L28" s="74"/>
    </row>
    <row r="29" spans="1:12" ht="15" customHeight="1" x14ac:dyDescent="0.45">
      <c r="A29" s="61" t="s">
        <v>344</v>
      </c>
      <c r="B29" s="120">
        <v>5000</v>
      </c>
      <c r="C29" s="121">
        <v>1.6</v>
      </c>
      <c r="D29" s="122">
        <f>B29*2</f>
        <v>10000</v>
      </c>
      <c r="E29" s="59">
        <f>C29*D29</f>
        <v>16000</v>
      </c>
      <c r="F29" s="116">
        <v>40</v>
      </c>
      <c r="G29" s="117">
        <f>E29*F29</f>
        <v>640000</v>
      </c>
      <c r="H29" s="119"/>
      <c r="I29" s="73"/>
      <c r="J29" s="73"/>
      <c r="K29" s="73"/>
      <c r="L29" s="74"/>
    </row>
    <row r="30" spans="1:12" ht="15" customHeight="1" x14ac:dyDescent="0.45">
      <c r="A30" s="61" t="s">
        <v>345</v>
      </c>
      <c r="B30" s="75">
        <v>1000</v>
      </c>
      <c r="C30" s="123"/>
      <c r="D30" s="59">
        <f>B30</f>
        <v>1000</v>
      </c>
      <c r="E30" s="75">
        <v>0</v>
      </c>
      <c r="F30" s="124" t="s">
        <v>346</v>
      </c>
      <c r="G30" s="116">
        <v>0</v>
      </c>
      <c r="H30" s="77" t="s">
        <v>347</v>
      </c>
      <c r="I30" s="73"/>
      <c r="J30" s="73"/>
      <c r="K30" s="73"/>
      <c r="L30" s="74"/>
    </row>
    <row r="31" spans="1:12" ht="15" customHeight="1" x14ac:dyDescent="0.45">
      <c r="A31" s="61"/>
      <c r="B31" s="63"/>
      <c r="C31" s="123"/>
      <c r="D31" s="63"/>
      <c r="E31" s="63"/>
      <c r="F31" s="124"/>
      <c r="G31" s="124"/>
      <c r="H31" s="77"/>
      <c r="I31" s="73"/>
      <c r="J31" s="73"/>
      <c r="K31" s="73"/>
      <c r="L31" s="74"/>
    </row>
    <row r="32" spans="1:12" ht="15" customHeight="1" x14ac:dyDescent="0.45">
      <c r="A32" s="65"/>
      <c r="B32" s="90"/>
      <c r="C32" s="79"/>
      <c r="D32" s="90"/>
      <c r="E32" s="78">
        <f>SUM(E27:E31)</f>
        <v>41500.600060006</v>
      </c>
      <c r="F32" s="125"/>
      <c r="G32" s="78">
        <f>SUM(G27:G31)</f>
        <v>1840042.0042004201</v>
      </c>
      <c r="H32" s="77"/>
      <c r="I32" s="73"/>
      <c r="J32" s="73"/>
      <c r="K32" s="73"/>
      <c r="L32" s="74"/>
    </row>
    <row r="34" spans="1:16" ht="15" customHeight="1" x14ac:dyDescent="0.45">
      <c r="A34" t="s">
        <v>348</v>
      </c>
    </row>
    <row r="37" spans="1:16" ht="15" customHeight="1" x14ac:dyDescent="0.45">
      <c r="A37" s="54" t="s">
        <v>276</v>
      </c>
    </row>
    <row r="38" spans="1:16" ht="15" customHeight="1" x14ac:dyDescent="0.45">
      <c r="A38" s="185" t="s">
        <v>277</v>
      </c>
      <c r="B38" s="179" t="s">
        <v>230</v>
      </c>
      <c r="C38" s="179"/>
      <c r="D38" s="179"/>
      <c r="E38" s="179" t="s">
        <v>231</v>
      </c>
      <c r="F38" s="179"/>
      <c r="G38" s="179"/>
      <c r="H38" s="179" t="s">
        <v>232</v>
      </c>
      <c r="I38" s="179"/>
      <c r="J38" s="179"/>
      <c r="K38" s="179" t="s">
        <v>233</v>
      </c>
      <c r="L38" s="179"/>
      <c r="M38" s="179"/>
      <c r="N38" s="180" t="s">
        <v>279</v>
      </c>
      <c r="O38" s="180"/>
      <c r="P38" s="180"/>
    </row>
    <row r="39" spans="1:16" ht="15" customHeight="1" x14ac:dyDescent="0.45">
      <c r="A39" s="185"/>
      <c r="B39" s="81" t="s">
        <v>268</v>
      </c>
      <c r="C39" s="81" t="s">
        <v>280</v>
      </c>
      <c r="D39" s="81" t="s">
        <v>281</v>
      </c>
      <c r="E39" s="81" t="s">
        <v>268</v>
      </c>
      <c r="F39" s="81" t="s">
        <v>280</v>
      </c>
      <c r="G39" s="81" t="s">
        <v>281</v>
      </c>
      <c r="H39" s="81" t="s">
        <v>268</v>
      </c>
      <c r="I39" s="81" t="s">
        <v>280</v>
      </c>
      <c r="J39" s="81" t="s">
        <v>281</v>
      </c>
      <c r="K39" s="81" t="s">
        <v>268</v>
      </c>
      <c r="L39" s="81" t="s">
        <v>280</v>
      </c>
      <c r="M39" s="81" t="s">
        <v>281</v>
      </c>
      <c r="N39" s="4" t="s">
        <v>268</v>
      </c>
      <c r="O39" s="4" t="s">
        <v>280</v>
      </c>
      <c r="P39" s="4" t="s">
        <v>281</v>
      </c>
    </row>
    <row r="40" spans="1:16" ht="15" customHeight="1" x14ac:dyDescent="0.45">
      <c r="A40" s="61" t="s">
        <v>349</v>
      </c>
      <c r="B40" s="59">
        <f>B28</f>
        <v>60000</v>
      </c>
      <c r="C40" s="76">
        <v>2</v>
      </c>
      <c r="D40" s="59">
        <f>B40*C40</f>
        <v>120000</v>
      </c>
      <c r="E40" s="86">
        <f>B40*2.5</f>
        <v>150000</v>
      </c>
      <c r="F40" s="76">
        <v>2</v>
      </c>
      <c r="G40" s="59">
        <f>E40*F40</f>
        <v>300000</v>
      </c>
      <c r="H40" s="126">
        <f>E40*1.6</f>
        <v>240000</v>
      </c>
      <c r="I40" s="86">
        <f>F40</f>
        <v>2</v>
      </c>
      <c r="J40" s="59">
        <f>H40*I40</f>
        <v>480000</v>
      </c>
      <c r="K40" s="126">
        <f>H40</f>
        <v>240000</v>
      </c>
      <c r="L40" s="86">
        <f>I40</f>
        <v>2</v>
      </c>
      <c r="M40" s="59">
        <f>K40*L40</f>
        <v>480000</v>
      </c>
      <c r="N40" s="89">
        <f>K40</f>
        <v>240000</v>
      </c>
      <c r="O40" s="88">
        <f>L40</f>
        <v>2</v>
      </c>
      <c r="P40" s="89">
        <f>N40*O40</f>
        <v>480000</v>
      </c>
    </row>
    <row r="41" spans="1:16" ht="15" customHeight="1" x14ac:dyDescent="0.45">
      <c r="A41" s="61" t="s">
        <v>350</v>
      </c>
      <c r="B41" s="59">
        <f>B29</f>
        <v>5000</v>
      </c>
      <c r="C41" s="76">
        <v>5</v>
      </c>
      <c r="D41" s="59">
        <f>B41*C41</f>
        <v>25000</v>
      </c>
      <c r="E41" s="86">
        <f>B41*2.5</f>
        <v>12500</v>
      </c>
      <c r="F41" s="76">
        <v>5</v>
      </c>
      <c r="G41" s="59">
        <f>E41*F41</f>
        <v>62500</v>
      </c>
      <c r="H41" s="126">
        <f>E41*1.6</f>
        <v>20000</v>
      </c>
      <c r="I41" s="86">
        <f>F41</f>
        <v>5</v>
      </c>
      <c r="J41" s="59">
        <f>H41*I41</f>
        <v>100000</v>
      </c>
      <c r="K41" s="126">
        <f>H41</f>
        <v>20000</v>
      </c>
      <c r="L41" s="86">
        <f>I41</f>
        <v>5</v>
      </c>
      <c r="M41" s="59">
        <f>K41*L41</f>
        <v>100000</v>
      </c>
      <c r="N41" s="89">
        <f>K41</f>
        <v>20000</v>
      </c>
      <c r="O41" s="88">
        <f>L41</f>
        <v>5</v>
      </c>
      <c r="P41" s="89">
        <f>N41*O41</f>
        <v>100000</v>
      </c>
    </row>
    <row r="42" spans="1:16" ht="15" customHeight="1" x14ac:dyDescent="0.45">
      <c r="A42" s="65" t="s">
        <v>351</v>
      </c>
      <c r="B42" s="90"/>
      <c r="C42" s="79"/>
      <c r="D42" s="78">
        <f>SUBTOTAL(9,D40:D41)</f>
        <v>145000</v>
      </c>
      <c r="E42" s="79"/>
      <c r="F42" s="79"/>
      <c r="G42" s="78">
        <f>SUBTOTAL(9,G40:G41)</f>
        <v>362500</v>
      </c>
      <c r="H42" s="127"/>
      <c r="I42" s="79"/>
      <c r="J42" s="78">
        <f>SUBTOTAL(9,J40:J41)</f>
        <v>580000</v>
      </c>
      <c r="K42" s="127"/>
      <c r="L42" s="79"/>
      <c r="M42" s="78">
        <f>SUBTOTAL(9,M40:M41)</f>
        <v>580000</v>
      </c>
      <c r="N42" s="127"/>
      <c r="O42" s="79"/>
      <c r="P42" s="91">
        <f>SUBTOTAL(9,P40:P41)</f>
        <v>580000</v>
      </c>
    </row>
    <row r="43" spans="1:16" ht="15" customHeight="1" x14ac:dyDescent="0.45">
      <c r="A43" s="61" t="s">
        <v>283</v>
      </c>
      <c r="B43" s="59">
        <f>E32</f>
        <v>41500.600060006</v>
      </c>
      <c r="C43" s="86">
        <f>D43/B43</f>
        <v>44.337720455605243</v>
      </c>
      <c r="D43" s="59">
        <f>G32</f>
        <v>1840042.0042004201</v>
      </c>
      <c r="E43" s="86">
        <f>B43*2.5</f>
        <v>103751.500150015</v>
      </c>
      <c r="F43" s="88">
        <f>C43*(1+Assumptions!$D$22)</f>
        <v>46.554606478385509</v>
      </c>
      <c r="G43" s="59">
        <f>E43*F43</f>
        <v>4830110.261026103</v>
      </c>
      <c r="H43" s="126">
        <f>E43*1.6</f>
        <v>166002.400240024</v>
      </c>
      <c r="I43" s="88">
        <f>F43*(1+Assumptions!$D$22)</f>
        <v>48.882336802304785</v>
      </c>
      <c r="J43" s="59">
        <f>H43*I43</f>
        <v>8114585.2385238539</v>
      </c>
      <c r="K43" s="126">
        <f>H43</f>
        <v>166002.400240024</v>
      </c>
      <c r="L43" s="88">
        <f>I43*(1+Assumptions!$D$22)</f>
        <v>51.326453642420027</v>
      </c>
      <c r="M43" s="59">
        <f>K43*L43</f>
        <v>8520314.5004500467</v>
      </c>
      <c r="N43" s="89">
        <f>K43</f>
        <v>166002.400240024</v>
      </c>
      <c r="O43" s="88">
        <f>L43*(1+Assumptions!$D$22)</f>
        <v>53.892776324541032</v>
      </c>
      <c r="P43" s="89">
        <f>N43*O43</f>
        <v>8946330.225472549</v>
      </c>
    </row>
    <row r="44" spans="1:16" ht="15" customHeight="1" x14ac:dyDescent="0.45">
      <c r="A44" s="61" t="s">
        <v>352</v>
      </c>
      <c r="B44" s="59">
        <f>E27</f>
        <v>6000.6000600060006</v>
      </c>
      <c r="C44" s="76">
        <v>70</v>
      </c>
      <c r="D44" s="59">
        <f>B44*C44</f>
        <v>420042.00420042005</v>
      </c>
      <c r="E44" s="86">
        <f>B44*2.5</f>
        <v>15001.500150015001</v>
      </c>
      <c r="F44" s="88">
        <f>C44*(1+Assumptions!$D$22)</f>
        <v>73.5</v>
      </c>
      <c r="G44" s="59">
        <f>E44*F44</f>
        <v>1102610.2610261026</v>
      </c>
      <c r="H44" s="126">
        <f>E44*1.6</f>
        <v>24002.400240024002</v>
      </c>
      <c r="I44" s="88">
        <f>F44*(1+Assumptions!$D$22)</f>
        <v>77.174999999999997</v>
      </c>
      <c r="J44" s="59">
        <f>H44*I44</f>
        <v>1852385.2385238523</v>
      </c>
      <c r="K44" s="126">
        <f>H44</f>
        <v>24002.400240024002</v>
      </c>
      <c r="L44" s="88">
        <f>I44*(1+Assumptions!$D$22)</f>
        <v>81.033749999999998</v>
      </c>
      <c r="M44" s="59">
        <f>K44*L44</f>
        <v>1945004.5004500449</v>
      </c>
      <c r="N44" s="89">
        <f>K44</f>
        <v>24002.400240024002</v>
      </c>
      <c r="O44" s="88">
        <f>L44*(1+Assumptions!$D$22)</f>
        <v>85.085437499999998</v>
      </c>
      <c r="P44" s="89">
        <f>N44*O44</f>
        <v>2042254.7254725471</v>
      </c>
    </row>
    <row r="45" spans="1:16" ht="15" customHeight="1" x14ac:dyDescent="0.45">
      <c r="A45" s="65" t="s">
        <v>353</v>
      </c>
      <c r="B45" s="128"/>
      <c r="C45" s="129"/>
      <c r="D45" s="78">
        <f>SUBTOTAL(9,D43:D44)</f>
        <v>2260084.0084008402</v>
      </c>
      <c r="E45" s="79"/>
      <c r="F45" s="79"/>
      <c r="G45" s="78">
        <f>SUBTOTAL(9,G43:G44)</f>
        <v>5932720.5220522061</v>
      </c>
      <c r="H45" s="127"/>
      <c r="I45" s="79"/>
      <c r="J45" s="78">
        <f>SUBTOTAL(9,J43:J44)</f>
        <v>9966970.477047706</v>
      </c>
      <c r="K45" s="127"/>
      <c r="L45" s="79"/>
      <c r="M45" s="78">
        <f>SUBTOTAL(9,M43:M44)</f>
        <v>10465319.000900092</v>
      </c>
      <c r="N45" s="127"/>
      <c r="O45" s="79"/>
      <c r="P45" s="91">
        <f>SUBTOTAL(9,P43:P44)</f>
        <v>10988584.950945096</v>
      </c>
    </row>
    <row r="46" spans="1:16" ht="15" customHeight="1" x14ac:dyDescent="0.45">
      <c r="A46" s="61" t="s">
        <v>354</v>
      </c>
      <c r="B46" s="75">
        <v>40</v>
      </c>
      <c r="C46" s="76">
        <v>40000</v>
      </c>
      <c r="D46" s="59">
        <f>B46*C46</f>
        <v>1600000</v>
      </c>
      <c r="E46" s="86">
        <f>B46*2.5</f>
        <v>100</v>
      </c>
      <c r="F46" s="86">
        <f>C46</f>
        <v>40000</v>
      </c>
      <c r="G46" s="59">
        <f>E46*F46</f>
        <v>4000000</v>
      </c>
      <c r="H46" s="126">
        <f>E46*1.6</f>
        <v>160</v>
      </c>
      <c r="I46" s="86">
        <f>F46</f>
        <v>40000</v>
      </c>
      <c r="J46" s="59">
        <f>H46*I46</f>
        <v>6400000</v>
      </c>
      <c r="K46" s="126">
        <f>H46</f>
        <v>160</v>
      </c>
      <c r="L46" s="86">
        <f>I46</f>
        <v>40000</v>
      </c>
      <c r="M46" s="59">
        <f>K46*L46</f>
        <v>6400000</v>
      </c>
      <c r="N46" s="89">
        <f>K46</f>
        <v>160</v>
      </c>
      <c r="O46" s="88">
        <f>L46</f>
        <v>40000</v>
      </c>
      <c r="P46" s="89">
        <f>N46*O46</f>
        <v>6400000</v>
      </c>
    </row>
    <row r="47" spans="1:16" ht="15" customHeight="1" x14ac:dyDescent="0.45">
      <c r="A47" s="65" t="s">
        <v>284</v>
      </c>
      <c r="B47" s="90"/>
      <c r="C47" s="79"/>
      <c r="D47" s="78">
        <f>SUBTOTAL(9,D40:D46)</f>
        <v>4005084.0084008402</v>
      </c>
      <c r="E47" s="61"/>
      <c r="F47" s="61"/>
      <c r="G47" s="78">
        <f>SUBTOTAL(9,G40:G46)</f>
        <v>10295220.522052206</v>
      </c>
      <c r="H47" s="61"/>
      <c r="I47" s="61"/>
      <c r="J47" s="78">
        <f>SUBTOTAL(9,J40:J46)</f>
        <v>16946970.477047704</v>
      </c>
      <c r="K47" s="61"/>
      <c r="L47" s="61"/>
      <c r="M47" s="78">
        <f>SUBTOTAL(9,M40:M46)</f>
        <v>17445319.00090009</v>
      </c>
      <c r="N47" s="61"/>
      <c r="O47" s="61"/>
      <c r="P47" s="91">
        <f>SUBTOTAL(9,P40:P46)</f>
        <v>17968584.950945094</v>
      </c>
    </row>
    <row r="49" spans="1:48" ht="15.4" x14ac:dyDescent="0.45">
      <c r="A49" s="94" t="s">
        <v>287</v>
      </c>
    </row>
    <row r="50" spans="1:48" x14ac:dyDescent="0.45">
      <c r="A50" s="95" t="s">
        <v>277</v>
      </c>
      <c r="B50" s="177" t="s">
        <v>230</v>
      </c>
      <c r="C50" s="177"/>
      <c r="D50" s="177"/>
      <c r="E50" s="177" t="s">
        <v>231</v>
      </c>
      <c r="F50" s="177"/>
      <c r="G50" s="177"/>
      <c r="H50" s="177" t="s">
        <v>232</v>
      </c>
      <c r="I50" s="177"/>
      <c r="J50" s="177"/>
      <c r="K50" s="177" t="s">
        <v>233</v>
      </c>
      <c r="L50" s="177"/>
      <c r="M50" s="177"/>
      <c r="N50" s="177" t="s">
        <v>279</v>
      </c>
      <c r="O50" s="177"/>
      <c r="P50" s="177"/>
    </row>
    <row r="51" spans="1:48" ht="27.75" customHeight="1" x14ac:dyDescent="0.45">
      <c r="A51" s="3"/>
      <c r="B51" s="96" t="s">
        <v>268</v>
      </c>
      <c r="C51" s="96" t="s">
        <v>288</v>
      </c>
      <c r="D51" s="96" t="s">
        <v>281</v>
      </c>
      <c r="E51" s="96" t="s">
        <v>268</v>
      </c>
      <c r="F51" s="96" t="s">
        <v>288</v>
      </c>
      <c r="G51" s="96" t="s">
        <v>281</v>
      </c>
      <c r="H51" s="96" t="s">
        <v>268</v>
      </c>
      <c r="I51" s="96" t="s">
        <v>288</v>
      </c>
      <c r="J51" s="96" t="s">
        <v>281</v>
      </c>
      <c r="K51" s="96" t="s">
        <v>268</v>
      </c>
      <c r="L51" s="96" t="s">
        <v>288</v>
      </c>
      <c r="M51" s="96" t="s">
        <v>281</v>
      </c>
      <c r="N51" s="96" t="s">
        <v>268</v>
      </c>
      <c r="O51" s="96" t="s">
        <v>288</v>
      </c>
      <c r="P51" s="96" t="s">
        <v>281</v>
      </c>
    </row>
    <row r="52" spans="1:48" x14ac:dyDescent="0.45">
      <c r="A52" s="29" t="s">
        <v>355</v>
      </c>
      <c r="B52" s="87">
        <f>I72</f>
        <v>10000000</v>
      </c>
      <c r="C52" s="97">
        <v>0.8</v>
      </c>
      <c r="D52" s="87">
        <f>B52*C52</f>
        <v>8000000</v>
      </c>
      <c r="E52" s="87">
        <f>V72</f>
        <v>25000000</v>
      </c>
      <c r="F52" s="98">
        <f>C52*(1+Assumptions!$D$21)</f>
        <v>0.84000000000000008</v>
      </c>
      <c r="G52" s="87">
        <f>E52*F52</f>
        <v>21000000.000000004</v>
      </c>
      <c r="H52" s="87">
        <f>AI72</f>
        <v>35000000</v>
      </c>
      <c r="I52" s="98">
        <f>F52*(1+Assumptions!$D$21)</f>
        <v>0.88200000000000012</v>
      </c>
      <c r="J52" s="87">
        <f>H52*I52</f>
        <v>30870000.000000004</v>
      </c>
      <c r="K52" s="87">
        <f>AV72</f>
        <v>40000000</v>
      </c>
      <c r="L52" s="98">
        <f>I52*(1+Assumptions!$D$21)</f>
        <v>0.92610000000000015</v>
      </c>
      <c r="M52" s="87">
        <f>K52*L52</f>
        <v>37044000.000000007</v>
      </c>
      <c r="N52" s="87">
        <f>K52</f>
        <v>40000000</v>
      </c>
      <c r="O52" s="98">
        <f>L52*(1+Assumptions!$D$21)</f>
        <v>0.97240500000000019</v>
      </c>
      <c r="P52" s="87">
        <f>N52*O52</f>
        <v>38896200.000000007</v>
      </c>
    </row>
    <row r="53" spans="1:48" x14ac:dyDescent="0.45">
      <c r="A53" s="29" t="s">
        <v>356</v>
      </c>
      <c r="B53" s="87">
        <f>I73</f>
        <v>400</v>
      </c>
      <c r="C53" s="97">
        <v>3500</v>
      </c>
      <c r="D53" s="87">
        <f>B53*C53</f>
        <v>1400000</v>
      </c>
      <c r="E53" s="87">
        <f>V73</f>
        <v>1600</v>
      </c>
      <c r="F53" s="98">
        <f>C53*(1+Assumptions!$D$21)</f>
        <v>3675</v>
      </c>
      <c r="G53" s="87">
        <f>E53*F53</f>
        <v>5880000</v>
      </c>
      <c r="H53" s="87">
        <f>AI73</f>
        <v>3100</v>
      </c>
      <c r="I53" s="98">
        <f>F53*(1+Assumptions!$D$21)</f>
        <v>3858.75</v>
      </c>
      <c r="J53" s="87">
        <f>H53*I53</f>
        <v>11962125</v>
      </c>
      <c r="K53" s="87">
        <f>AV73</f>
        <v>2400</v>
      </c>
      <c r="L53" s="98">
        <f>I53*(1+Assumptions!$D$21)</f>
        <v>4051.6875</v>
      </c>
      <c r="M53" s="87">
        <f>K53*L53</f>
        <v>9724050</v>
      </c>
      <c r="N53" s="87">
        <f>K53</f>
        <v>2400</v>
      </c>
      <c r="O53" s="98">
        <f>L53*(1+Assumptions!$D$21)</f>
        <v>4254.2718750000004</v>
      </c>
      <c r="P53" s="87">
        <f>N53*O53</f>
        <v>10210252.5</v>
      </c>
    </row>
    <row r="54" spans="1:48" x14ac:dyDescent="0.45">
      <c r="A54" s="29" t="s">
        <v>357</v>
      </c>
      <c r="B54" s="87">
        <f>I74</f>
        <v>0</v>
      </c>
      <c r="C54" s="97">
        <v>150</v>
      </c>
      <c r="D54" s="87">
        <f>B54*C54</f>
        <v>0</v>
      </c>
      <c r="E54" s="87">
        <f>V74</f>
        <v>0</v>
      </c>
      <c r="F54" s="98">
        <f>C54*(1+Assumptions!$D$21)</f>
        <v>157.5</v>
      </c>
      <c r="G54" s="87">
        <f>E54*F54</f>
        <v>0</v>
      </c>
      <c r="H54" s="87">
        <f>AI74</f>
        <v>0</v>
      </c>
      <c r="I54" s="98">
        <f>F54*(1+Assumptions!$D$21)</f>
        <v>165.375</v>
      </c>
      <c r="J54" s="87">
        <f>H54*I54</f>
        <v>0</v>
      </c>
      <c r="K54" s="87">
        <f>AV74</f>
        <v>24000</v>
      </c>
      <c r="L54" s="98">
        <f>I54*(1+Assumptions!$D$21)</f>
        <v>173.64375000000001</v>
      </c>
      <c r="M54" s="87">
        <f>K54*L54</f>
        <v>4167450.0000000005</v>
      </c>
      <c r="N54" s="103">
        <v>0</v>
      </c>
      <c r="O54" s="98">
        <f>L54*(1+Assumptions!$D$21)</f>
        <v>182.32593750000001</v>
      </c>
      <c r="P54" s="87">
        <f>N54*O54</f>
        <v>0</v>
      </c>
    </row>
    <row r="55" spans="1:48" x14ac:dyDescent="0.45">
      <c r="A55" s="29" t="s">
        <v>358</v>
      </c>
      <c r="B55" s="87">
        <f>I75</f>
        <v>0</v>
      </c>
      <c r="C55" s="97">
        <v>300</v>
      </c>
      <c r="D55" s="87">
        <f>B55*C55</f>
        <v>0</v>
      </c>
      <c r="E55" s="87">
        <f>V75</f>
        <v>0</v>
      </c>
      <c r="F55" s="98">
        <f>C55*(1+Assumptions!$D$21)</f>
        <v>315</v>
      </c>
      <c r="G55" s="87">
        <f>E55*F55</f>
        <v>0</v>
      </c>
      <c r="H55" s="87">
        <f>AI75</f>
        <v>0</v>
      </c>
      <c r="I55" s="98">
        <f>F55*(1+Assumptions!$D$21)</f>
        <v>330.75</v>
      </c>
      <c r="J55" s="87">
        <f>H55*I55</f>
        <v>0</v>
      </c>
      <c r="K55" s="87">
        <f>AV75</f>
        <v>20000</v>
      </c>
      <c r="L55" s="98">
        <f>I55*(1+Assumptions!$D$21)</f>
        <v>347.28750000000002</v>
      </c>
      <c r="M55" s="87">
        <f>K55*L55</f>
        <v>6945750</v>
      </c>
      <c r="N55" s="103">
        <v>0</v>
      </c>
      <c r="O55" s="98">
        <f>L55*(1+Assumptions!$D$21)</f>
        <v>364.65187500000002</v>
      </c>
      <c r="P55" s="87">
        <f>N55*O55</f>
        <v>0</v>
      </c>
    </row>
    <row r="56" spans="1:48" x14ac:dyDescent="0.45">
      <c r="A56" s="15" t="s">
        <v>291</v>
      </c>
      <c r="D56" s="91">
        <f>SUM(D52:D55)</f>
        <v>9400000</v>
      </c>
      <c r="G56" s="91">
        <f>SUM(G52:G55)</f>
        <v>26880000.000000004</v>
      </c>
      <c r="J56" s="91">
        <f>SUM(J52:J55)</f>
        <v>42832125</v>
      </c>
      <c r="M56" s="91">
        <f>SUM(M52:M55)</f>
        <v>57881250.000000007</v>
      </c>
      <c r="P56" s="91">
        <f>SUM(P52:P55)</f>
        <v>49106452.500000007</v>
      </c>
    </row>
    <row r="58" spans="1:48" ht="25.5" customHeight="1" x14ac:dyDescent="0.45">
      <c r="A58" s="178" t="s">
        <v>359</v>
      </c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</row>
    <row r="60" spans="1:48" ht="15.4" x14ac:dyDescent="0.45">
      <c r="A60" s="94" t="s">
        <v>360</v>
      </c>
    </row>
    <row r="61" spans="1:48" x14ac:dyDescent="0.45">
      <c r="A61" s="95" t="s">
        <v>294</v>
      </c>
      <c r="B61" s="11"/>
      <c r="C61" s="177" t="s">
        <v>230</v>
      </c>
      <c r="D61" s="177"/>
      <c r="E61" s="177"/>
      <c r="F61" s="177"/>
      <c r="G61" s="177"/>
      <c r="H61" s="177"/>
      <c r="I61" s="177"/>
      <c r="J61" s="177" t="s">
        <v>231</v>
      </c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 t="s">
        <v>232</v>
      </c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 t="s">
        <v>233</v>
      </c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</row>
    <row r="62" spans="1:48" x14ac:dyDescent="0.45">
      <c r="A62" s="95"/>
      <c r="B62" s="11"/>
      <c r="C62" s="99">
        <v>46388</v>
      </c>
      <c r="D62" s="99">
        <v>46419</v>
      </c>
      <c r="E62" s="99">
        <v>46447</v>
      </c>
      <c r="F62" s="99">
        <v>46478</v>
      </c>
      <c r="G62" s="99">
        <v>46508</v>
      </c>
      <c r="H62" s="99">
        <v>46539</v>
      </c>
      <c r="I62" s="3" t="s">
        <v>284</v>
      </c>
      <c r="J62" s="99">
        <v>46569</v>
      </c>
      <c r="K62" s="99">
        <v>46600</v>
      </c>
      <c r="L62" s="99">
        <v>46631</v>
      </c>
      <c r="M62" s="99">
        <v>46661</v>
      </c>
      <c r="N62" s="99">
        <v>46692</v>
      </c>
      <c r="O62" s="99">
        <v>46722</v>
      </c>
      <c r="P62" s="99">
        <v>46753</v>
      </c>
      <c r="Q62" s="99">
        <v>46784</v>
      </c>
      <c r="R62" s="99">
        <v>46813</v>
      </c>
      <c r="S62" s="99">
        <v>46844</v>
      </c>
      <c r="T62" s="99">
        <v>46874</v>
      </c>
      <c r="U62" s="99">
        <v>46905</v>
      </c>
      <c r="V62" s="3" t="s">
        <v>284</v>
      </c>
      <c r="W62" s="99">
        <v>46935</v>
      </c>
      <c r="X62" s="99">
        <v>46966</v>
      </c>
      <c r="Y62" s="99">
        <v>46997</v>
      </c>
      <c r="Z62" s="99">
        <v>47027</v>
      </c>
      <c r="AA62" s="99">
        <v>47058</v>
      </c>
      <c r="AB62" s="99">
        <v>47088</v>
      </c>
      <c r="AC62" s="99">
        <v>47119</v>
      </c>
      <c r="AD62" s="99">
        <v>47150</v>
      </c>
      <c r="AE62" s="99">
        <v>47178</v>
      </c>
      <c r="AF62" s="99">
        <v>47209</v>
      </c>
      <c r="AG62" s="99">
        <v>47239</v>
      </c>
      <c r="AH62" s="99">
        <v>47270</v>
      </c>
      <c r="AI62" s="3" t="s">
        <v>284</v>
      </c>
      <c r="AJ62" s="99">
        <v>47300</v>
      </c>
      <c r="AK62" s="99">
        <v>47331</v>
      </c>
      <c r="AL62" s="99">
        <v>47362</v>
      </c>
      <c r="AM62" s="99">
        <v>47392</v>
      </c>
      <c r="AN62" s="99">
        <v>47423</v>
      </c>
      <c r="AO62" s="99">
        <v>47453</v>
      </c>
      <c r="AP62" s="99">
        <v>47484</v>
      </c>
      <c r="AQ62" s="99">
        <v>47515</v>
      </c>
      <c r="AR62" s="99">
        <v>47543</v>
      </c>
      <c r="AS62" s="99">
        <v>47574</v>
      </c>
      <c r="AT62" s="99">
        <v>47604</v>
      </c>
      <c r="AU62" s="99">
        <v>47635</v>
      </c>
      <c r="AV62" s="3" t="s">
        <v>284</v>
      </c>
    </row>
    <row r="63" spans="1:48" x14ac:dyDescent="0.45">
      <c r="A63" s="29" t="s">
        <v>361</v>
      </c>
      <c r="B63" s="100" t="s">
        <v>296</v>
      </c>
      <c r="F63" s="87">
        <f>F72*$C$52</f>
        <v>1600000</v>
      </c>
      <c r="G63" s="87">
        <f>G72*$C$52</f>
        <v>3200000</v>
      </c>
      <c r="H63" s="87">
        <f>H72*$C$52</f>
        <v>3200000</v>
      </c>
      <c r="I63" s="101">
        <f>SUM(C63:H63)</f>
        <v>8000000</v>
      </c>
      <c r="J63" s="87">
        <f>J72*$F$52</f>
        <v>3360000.0000000005</v>
      </c>
      <c r="K63" s="87">
        <f>K72*$F$52</f>
        <v>3360000.0000000005</v>
      </c>
      <c r="L63" s="87">
        <f>L72*$F$52</f>
        <v>1680000.0000000002</v>
      </c>
      <c r="S63" s="87">
        <f>S72*$F$52</f>
        <v>2520000.0000000005</v>
      </c>
      <c r="T63" s="87">
        <f>T72*$F$52</f>
        <v>5040000.0000000009</v>
      </c>
      <c r="U63" s="87">
        <f>U72*$F$52</f>
        <v>5040000.0000000009</v>
      </c>
      <c r="V63" s="101">
        <f>SUM(J63:U63)</f>
        <v>21000000.000000004</v>
      </c>
      <c r="W63" s="87">
        <f>W72*$I$52</f>
        <v>5292000.0000000009</v>
      </c>
      <c r="X63" s="87">
        <f>X72*$I$52</f>
        <v>5292000.0000000009</v>
      </c>
      <c r="Y63" s="87">
        <f>Y72*$I$52</f>
        <v>2646000.0000000005</v>
      </c>
      <c r="AF63" s="87">
        <f>AF72*$I$52</f>
        <v>3528000.0000000005</v>
      </c>
      <c r="AG63" s="87">
        <f>AG72*$I$52</f>
        <v>7056000.0000000009</v>
      </c>
      <c r="AH63" s="87">
        <f>AH72*$I$52</f>
        <v>7056000.0000000009</v>
      </c>
      <c r="AI63" s="101">
        <f>SUM(W63:AH63)</f>
        <v>30870000.000000004</v>
      </c>
      <c r="AJ63" s="87">
        <f>AJ72*$L$52</f>
        <v>7408800.0000000009</v>
      </c>
      <c r="AK63" s="87">
        <f>AK72*$L$52</f>
        <v>7408800.0000000009</v>
      </c>
      <c r="AL63" s="87">
        <f>AL72*$L$52</f>
        <v>3704400.0000000005</v>
      </c>
      <c r="AS63" s="87">
        <f>AS72*$L$52</f>
        <v>3704400.0000000005</v>
      </c>
      <c r="AT63" s="87">
        <f>AT72*$L$52</f>
        <v>7408800.0000000009</v>
      </c>
      <c r="AU63" s="87">
        <f>AU72*$L$52</f>
        <v>7408800.0000000009</v>
      </c>
      <c r="AV63" s="101">
        <f>SUM(AJ63:AU63)</f>
        <v>37044000.000000007</v>
      </c>
    </row>
    <row r="64" spans="1:48" x14ac:dyDescent="0.45">
      <c r="A64" s="29" t="s">
        <v>362</v>
      </c>
      <c r="B64" s="100" t="s">
        <v>296</v>
      </c>
      <c r="F64" s="87">
        <f>F73*$C$53</f>
        <v>350000</v>
      </c>
      <c r="G64" s="87">
        <f>G73*$C$53</f>
        <v>350000</v>
      </c>
      <c r="H64" s="87">
        <f>H73*$C$53</f>
        <v>700000</v>
      </c>
      <c r="I64" s="101">
        <f>SUM(C64:H64)</f>
        <v>1400000</v>
      </c>
      <c r="J64" s="87">
        <f>J73*$F$53</f>
        <v>1102500</v>
      </c>
      <c r="K64" s="87">
        <f>K73*$F$53</f>
        <v>1102500</v>
      </c>
      <c r="S64" s="87">
        <f>S73*$F$53</f>
        <v>918750</v>
      </c>
      <c r="T64" s="87">
        <f>T73*$F$53</f>
        <v>918750</v>
      </c>
      <c r="U64" s="87">
        <f>U73*$F$53</f>
        <v>1837500</v>
      </c>
      <c r="V64" s="101">
        <f>SUM(J64:U64)</f>
        <v>5880000</v>
      </c>
      <c r="W64" s="87">
        <f>W73*$I$53</f>
        <v>2894062.5</v>
      </c>
      <c r="X64" s="87">
        <f>X73*$I$53</f>
        <v>2894062.5</v>
      </c>
      <c r="AF64" s="87">
        <f>AF73*$I$53</f>
        <v>1543500</v>
      </c>
      <c r="AG64" s="87">
        <f>AG73*$I$53</f>
        <v>1543500</v>
      </c>
      <c r="AH64" s="87">
        <f>AH73*$I$53</f>
        <v>3087000</v>
      </c>
      <c r="AI64" s="101">
        <f>SUM(W64:AH64)</f>
        <v>11962125</v>
      </c>
      <c r="AJ64" s="87">
        <f>AJ73*$L$53</f>
        <v>4862025</v>
      </c>
      <c r="AK64" s="87">
        <f>AK73*$L$53</f>
        <v>4862025</v>
      </c>
      <c r="AV64" s="101">
        <f>SUM(AJ64:AU64)</f>
        <v>9724050</v>
      </c>
    </row>
    <row r="65" spans="1:48" x14ac:dyDescent="0.45">
      <c r="A65" s="29" t="s">
        <v>363</v>
      </c>
      <c r="B65" s="100" t="s">
        <v>296</v>
      </c>
      <c r="I65" s="101">
        <f>SUM(C65:H65)</f>
        <v>0</v>
      </c>
      <c r="V65" s="101">
        <f>SUM(J65:U65)</f>
        <v>0</v>
      </c>
      <c r="AI65" s="101">
        <f>SUM(W65:AH65)</f>
        <v>0</v>
      </c>
      <c r="AO65" s="87">
        <f>AO74*$L$54</f>
        <v>4167450.0000000005</v>
      </c>
      <c r="AV65" s="101">
        <f>SUM(AJ65:AU65)</f>
        <v>4167450.0000000005</v>
      </c>
    </row>
    <row r="66" spans="1:48" x14ac:dyDescent="0.45">
      <c r="A66" s="29" t="s">
        <v>364</v>
      </c>
      <c r="B66" s="100" t="s">
        <v>296</v>
      </c>
      <c r="I66" s="101">
        <f>SUM(C66:H66)</f>
        <v>0</v>
      </c>
      <c r="V66" s="101">
        <f>SUM(J66:U66)</f>
        <v>0</v>
      </c>
      <c r="AI66" s="101">
        <f>SUM(W66:AH66)</f>
        <v>0</v>
      </c>
      <c r="AP66" s="87">
        <f>AP75*$L$55</f>
        <v>6945750</v>
      </c>
      <c r="AV66" s="101">
        <f>SUM(AJ66:AU66)</f>
        <v>6945750</v>
      </c>
    </row>
    <row r="67" spans="1:48" x14ac:dyDescent="0.45">
      <c r="A67" s="15" t="s">
        <v>365</v>
      </c>
      <c r="C67" s="102">
        <f t="shared" ref="C67:AV67" si="0">C63+C64+C65+C66</f>
        <v>0</v>
      </c>
      <c r="D67" s="102">
        <f t="shared" si="0"/>
        <v>0</v>
      </c>
      <c r="E67" s="102">
        <f t="shared" si="0"/>
        <v>0</v>
      </c>
      <c r="F67" s="102">
        <f t="shared" si="0"/>
        <v>1950000</v>
      </c>
      <c r="G67" s="102">
        <f t="shared" si="0"/>
        <v>3550000</v>
      </c>
      <c r="H67" s="102">
        <f t="shared" si="0"/>
        <v>3900000</v>
      </c>
      <c r="I67" s="102">
        <f t="shared" si="0"/>
        <v>9400000</v>
      </c>
      <c r="J67" s="102">
        <f t="shared" si="0"/>
        <v>4462500</v>
      </c>
      <c r="K67" s="102">
        <f t="shared" si="0"/>
        <v>4462500</v>
      </c>
      <c r="L67" s="102">
        <f t="shared" si="0"/>
        <v>1680000.0000000002</v>
      </c>
      <c r="M67" s="102">
        <f t="shared" si="0"/>
        <v>0</v>
      </c>
      <c r="N67" s="102">
        <f t="shared" si="0"/>
        <v>0</v>
      </c>
      <c r="O67" s="102">
        <f t="shared" si="0"/>
        <v>0</v>
      </c>
      <c r="P67" s="102">
        <f t="shared" si="0"/>
        <v>0</v>
      </c>
      <c r="Q67" s="102">
        <f t="shared" si="0"/>
        <v>0</v>
      </c>
      <c r="R67" s="102">
        <f t="shared" si="0"/>
        <v>0</v>
      </c>
      <c r="S67" s="102">
        <f t="shared" si="0"/>
        <v>3438750.0000000005</v>
      </c>
      <c r="T67" s="102">
        <f t="shared" si="0"/>
        <v>5958750.0000000009</v>
      </c>
      <c r="U67" s="102">
        <f t="shared" si="0"/>
        <v>6877500.0000000009</v>
      </c>
      <c r="V67" s="102">
        <f t="shared" si="0"/>
        <v>26880000.000000004</v>
      </c>
      <c r="W67" s="102">
        <f t="shared" si="0"/>
        <v>8186062.5000000009</v>
      </c>
      <c r="X67" s="102">
        <f t="shared" si="0"/>
        <v>8186062.5000000009</v>
      </c>
      <c r="Y67" s="102">
        <f t="shared" si="0"/>
        <v>2646000.0000000005</v>
      </c>
      <c r="Z67" s="102">
        <f t="shared" si="0"/>
        <v>0</v>
      </c>
      <c r="AA67" s="102">
        <f t="shared" si="0"/>
        <v>0</v>
      </c>
      <c r="AB67" s="102">
        <f t="shared" si="0"/>
        <v>0</v>
      </c>
      <c r="AC67" s="102">
        <f t="shared" si="0"/>
        <v>0</v>
      </c>
      <c r="AD67" s="102">
        <f t="shared" si="0"/>
        <v>0</v>
      </c>
      <c r="AE67" s="102">
        <f t="shared" si="0"/>
        <v>0</v>
      </c>
      <c r="AF67" s="102">
        <f t="shared" si="0"/>
        <v>5071500</v>
      </c>
      <c r="AG67" s="102">
        <f t="shared" si="0"/>
        <v>8599500</v>
      </c>
      <c r="AH67" s="102">
        <f t="shared" si="0"/>
        <v>10143000</v>
      </c>
      <c r="AI67" s="102">
        <f t="shared" si="0"/>
        <v>42832125</v>
      </c>
      <c r="AJ67" s="102">
        <f t="shared" si="0"/>
        <v>12270825</v>
      </c>
      <c r="AK67" s="102">
        <f t="shared" si="0"/>
        <v>12270825</v>
      </c>
      <c r="AL67" s="102">
        <f t="shared" si="0"/>
        <v>3704400.0000000005</v>
      </c>
      <c r="AM67" s="102">
        <f t="shared" si="0"/>
        <v>0</v>
      </c>
      <c r="AN67" s="102">
        <f t="shared" si="0"/>
        <v>0</v>
      </c>
      <c r="AO67" s="102">
        <f t="shared" si="0"/>
        <v>4167450.0000000005</v>
      </c>
      <c r="AP67" s="102">
        <f t="shared" si="0"/>
        <v>6945750</v>
      </c>
      <c r="AQ67" s="102">
        <f t="shared" si="0"/>
        <v>0</v>
      </c>
      <c r="AR67" s="102">
        <f t="shared" si="0"/>
        <v>0</v>
      </c>
      <c r="AS67" s="102">
        <f t="shared" si="0"/>
        <v>3704400.0000000005</v>
      </c>
      <c r="AT67" s="102">
        <f t="shared" si="0"/>
        <v>7408800.0000000009</v>
      </c>
      <c r="AU67" s="102">
        <f t="shared" si="0"/>
        <v>7408800.0000000009</v>
      </c>
      <c r="AV67" s="102">
        <f t="shared" si="0"/>
        <v>57881250.000000007</v>
      </c>
    </row>
    <row r="69" spans="1:48" ht="15.4" x14ac:dyDescent="0.45">
      <c r="A69" s="94" t="s">
        <v>366</v>
      </c>
    </row>
    <row r="70" spans="1:48" x14ac:dyDescent="0.45">
      <c r="A70" s="95" t="s">
        <v>294</v>
      </c>
      <c r="B70" s="11"/>
      <c r="C70" s="177" t="s">
        <v>230</v>
      </c>
      <c r="D70" s="177"/>
      <c r="E70" s="177"/>
      <c r="F70" s="177"/>
      <c r="G70" s="177"/>
      <c r="H70" s="177"/>
      <c r="I70" s="177"/>
      <c r="J70" s="177" t="s">
        <v>231</v>
      </c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 t="s">
        <v>232</v>
      </c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 t="s">
        <v>233</v>
      </c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</row>
    <row r="71" spans="1:48" x14ac:dyDescent="0.45">
      <c r="A71" s="95"/>
      <c r="B71" s="11"/>
      <c r="C71" s="99">
        <v>46388</v>
      </c>
      <c r="D71" s="99">
        <v>46419</v>
      </c>
      <c r="E71" s="99">
        <v>46447</v>
      </c>
      <c r="F71" s="99">
        <v>46478</v>
      </c>
      <c r="G71" s="99">
        <v>46508</v>
      </c>
      <c r="H71" s="99">
        <v>46539</v>
      </c>
      <c r="I71" s="3" t="s">
        <v>284</v>
      </c>
      <c r="J71" s="99">
        <v>46569</v>
      </c>
      <c r="K71" s="99">
        <v>46600</v>
      </c>
      <c r="L71" s="99">
        <v>46631</v>
      </c>
      <c r="M71" s="99">
        <v>46661</v>
      </c>
      <c r="N71" s="99">
        <v>46692</v>
      </c>
      <c r="O71" s="99">
        <v>46722</v>
      </c>
      <c r="P71" s="99">
        <v>46753</v>
      </c>
      <c r="Q71" s="99">
        <v>46784</v>
      </c>
      <c r="R71" s="99">
        <v>46813</v>
      </c>
      <c r="S71" s="99">
        <v>46844</v>
      </c>
      <c r="T71" s="99">
        <v>46874</v>
      </c>
      <c r="U71" s="99">
        <v>46905</v>
      </c>
      <c r="V71" s="3" t="s">
        <v>284</v>
      </c>
      <c r="W71" s="99">
        <v>46935</v>
      </c>
      <c r="X71" s="99">
        <v>46966</v>
      </c>
      <c r="Y71" s="99">
        <v>46997</v>
      </c>
      <c r="Z71" s="99">
        <v>47027</v>
      </c>
      <c r="AA71" s="99">
        <v>47058</v>
      </c>
      <c r="AB71" s="99">
        <v>47088</v>
      </c>
      <c r="AC71" s="99">
        <v>47119</v>
      </c>
      <c r="AD71" s="99">
        <v>47150</v>
      </c>
      <c r="AE71" s="99">
        <v>47178</v>
      </c>
      <c r="AF71" s="99">
        <v>47209</v>
      </c>
      <c r="AG71" s="99">
        <v>47239</v>
      </c>
      <c r="AH71" s="99">
        <v>47270</v>
      </c>
      <c r="AI71" s="3" t="s">
        <v>284</v>
      </c>
      <c r="AJ71" s="99">
        <v>47300</v>
      </c>
      <c r="AK71" s="99">
        <v>47331</v>
      </c>
      <c r="AL71" s="99">
        <v>47362</v>
      </c>
      <c r="AM71" s="99">
        <v>47392</v>
      </c>
      <c r="AN71" s="99">
        <v>47423</v>
      </c>
      <c r="AO71" s="99">
        <v>47453</v>
      </c>
      <c r="AP71" s="99">
        <v>47484</v>
      </c>
      <c r="AQ71" s="99">
        <v>47515</v>
      </c>
      <c r="AR71" s="99">
        <v>47543</v>
      </c>
      <c r="AS71" s="99">
        <v>47574</v>
      </c>
      <c r="AT71" s="99">
        <v>47604</v>
      </c>
      <c r="AU71" s="99">
        <v>47635</v>
      </c>
      <c r="AV71" s="3" t="s">
        <v>284</v>
      </c>
    </row>
    <row r="72" spans="1:48" x14ac:dyDescent="0.45">
      <c r="A72" s="29" t="s">
        <v>355</v>
      </c>
      <c r="B72" s="100" t="s">
        <v>367</v>
      </c>
      <c r="F72" s="87">
        <f>C10</f>
        <v>2000000</v>
      </c>
      <c r="G72" s="87">
        <f>C11</f>
        <v>4000000</v>
      </c>
      <c r="H72" s="87">
        <f>C12</f>
        <v>4000000</v>
      </c>
      <c r="I72" s="87">
        <f>SUM(C72:H72)</f>
        <v>10000000</v>
      </c>
      <c r="J72" s="87">
        <f>E7</f>
        <v>4000000</v>
      </c>
      <c r="K72" s="87">
        <f>E8</f>
        <v>4000000</v>
      </c>
      <c r="L72" s="87">
        <f>E9</f>
        <v>2000000</v>
      </c>
      <c r="S72" s="87">
        <f>E10</f>
        <v>3000000</v>
      </c>
      <c r="T72" s="87">
        <f>E11</f>
        <v>6000000</v>
      </c>
      <c r="U72" s="87">
        <f>E12</f>
        <v>6000000</v>
      </c>
      <c r="V72" s="87">
        <f>SUM(J72:U72)</f>
        <v>25000000</v>
      </c>
      <c r="W72" s="87">
        <f>G7</f>
        <v>6000000</v>
      </c>
      <c r="X72" s="87">
        <f>G8</f>
        <v>6000000</v>
      </c>
      <c r="Y72" s="87">
        <f>G9</f>
        <v>3000000</v>
      </c>
      <c r="AF72" s="87">
        <f>G10</f>
        <v>4000000</v>
      </c>
      <c r="AG72" s="87">
        <f>G11</f>
        <v>8000000</v>
      </c>
      <c r="AH72" s="87">
        <f>G12</f>
        <v>8000000</v>
      </c>
      <c r="AI72" s="87">
        <f>SUM(W72:AH72)</f>
        <v>35000000</v>
      </c>
      <c r="AJ72" s="87">
        <f>I7</f>
        <v>8000000</v>
      </c>
      <c r="AK72" s="87">
        <f>I8</f>
        <v>8000000</v>
      </c>
      <c r="AL72" s="87">
        <f>I9</f>
        <v>4000000</v>
      </c>
      <c r="AS72" s="87">
        <f>I10</f>
        <v>4000000</v>
      </c>
      <c r="AT72" s="87">
        <f>I11</f>
        <v>8000000</v>
      </c>
      <c r="AU72" s="87">
        <f>I12</f>
        <v>8000000</v>
      </c>
      <c r="AV72" s="87">
        <f>SUM(AJ72:AU72)</f>
        <v>40000000</v>
      </c>
    </row>
    <row r="73" spans="1:48" x14ac:dyDescent="0.45">
      <c r="A73" s="29" t="s">
        <v>356</v>
      </c>
      <c r="B73" s="100" t="s">
        <v>205</v>
      </c>
      <c r="F73" s="103">
        <v>100</v>
      </c>
      <c r="G73" s="103">
        <v>100</v>
      </c>
      <c r="H73" s="103">
        <v>200</v>
      </c>
      <c r="I73" s="87">
        <f>SUM(C73:H73)</f>
        <v>400</v>
      </c>
      <c r="J73" s="103">
        <v>300</v>
      </c>
      <c r="K73" s="103">
        <v>300</v>
      </c>
      <c r="S73" s="87">
        <f>F73*2.5</f>
        <v>250</v>
      </c>
      <c r="T73" s="87">
        <f>G73*2.5</f>
        <v>250</v>
      </c>
      <c r="U73" s="87">
        <f>H73*2.5</f>
        <v>500</v>
      </c>
      <c r="V73" s="87">
        <f>SUM(J73:U73)</f>
        <v>1600</v>
      </c>
      <c r="W73" s="87">
        <f>J73*2.5</f>
        <v>750</v>
      </c>
      <c r="X73" s="87">
        <f>K73*2.5</f>
        <v>750</v>
      </c>
      <c r="AF73" s="87">
        <f>S73*1.6</f>
        <v>400</v>
      </c>
      <c r="AG73" s="87">
        <f>T73*1.6</f>
        <v>400</v>
      </c>
      <c r="AH73" s="87">
        <f>U73*1.6</f>
        <v>800</v>
      </c>
      <c r="AI73" s="87">
        <f>SUM(W73:AH73)</f>
        <v>3100</v>
      </c>
      <c r="AJ73" s="87">
        <f>W73*1.6</f>
        <v>1200</v>
      </c>
      <c r="AK73" s="87">
        <f>X73*1.6</f>
        <v>1200</v>
      </c>
      <c r="AV73" s="87">
        <f>SUM(AJ73:AU73)</f>
        <v>2400</v>
      </c>
    </row>
    <row r="74" spans="1:48" x14ac:dyDescent="0.45">
      <c r="A74" s="29" t="s">
        <v>357</v>
      </c>
      <c r="B74" s="100" t="s">
        <v>205</v>
      </c>
      <c r="I74" s="87">
        <f>SUM(C74:H74)</f>
        <v>0</v>
      </c>
      <c r="V74" s="87">
        <f>SUM(J74:U74)</f>
        <v>0</v>
      </c>
      <c r="AI74" s="87">
        <f>SUM(W74:AH74)</f>
        <v>0</v>
      </c>
      <c r="AO74" s="130">
        <f>Assumptions!$D$75</f>
        <v>24000</v>
      </c>
      <c r="AV74" s="87">
        <f>SUM(AJ74:AU74)</f>
        <v>24000</v>
      </c>
    </row>
    <row r="75" spans="1:48" x14ac:dyDescent="0.45">
      <c r="A75" s="29" t="s">
        <v>358</v>
      </c>
      <c r="B75" s="100" t="s">
        <v>205</v>
      </c>
      <c r="I75" s="87">
        <f>SUM(C75:H75)</f>
        <v>0</v>
      </c>
      <c r="V75" s="87">
        <f>SUM(J75:U75)</f>
        <v>0</v>
      </c>
      <c r="AI75" s="87">
        <f>SUM(W75:AH75)</f>
        <v>0</v>
      </c>
      <c r="AP75" s="130">
        <f>Assumptions!$D$76</f>
        <v>20000</v>
      </c>
      <c r="AV75" s="87">
        <f>SUM(AJ75:AU75)</f>
        <v>20000</v>
      </c>
    </row>
    <row r="78" spans="1:48" x14ac:dyDescent="0.45">
      <c r="A78" s="40" t="s">
        <v>301</v>
      </c>
    </row>
  </sheetData>
  <mergeCells count="29">
    <mergeCell ref="A5:A6"/>
    <mergeCell ref="B5:C5"/>
    <mergeCell ref="D5:E5"/>
    <mergeCell ref="F5:G5"/>
    <mergeCell ref="H5:I5"/>
    <mergeCell ref="A17:A18"/>
    <mergeCell ref="B17:C17"/>
    <mergeCell ref="D17:E17"/>
    <mergeCell ref="F17:G17"/>
    <mergeCell ref="A38:A39"/>
    <mergeCell ref="B38:D38"/>
    <mergeCell ref="E38:G38"/>
    <mergeCell ref="H38:J38"/>
    <mergeCell ref="K38:M38"/>
    <mergeCell ref="N38:P38"/>
    <mergeCell ref="B50:D50"/>
    <mergeCell ref="E50:G50"/>
    <mergeCell ref="H50:J50"/>
    <mergeCell ref="K50:M50"/>
    <mergeCell ref="N50:P50"/>
    <mergeCell ref="C70:I70"/>
    <mergeCell ref="J70:V70"/>
    <mergeCell ref="W70:AI70"/>
    <mergeCell ref="AJ70:AV70"/>
    <mergeCell ref="A58:P58"/>
    <mergeCell ref="C61:I61"/>
    <mergeCell ref="J61:V61"/>
    <mergeCell ref="W61:AI61"/>
    <mergeCell ref="AJ61:AV61"/>
  </mergeCells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  <pageSetUpPr fitToPage="1"/>
  </sheetPr>
  <dimension ref="B1:I84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2" sqref="A2"/>
    </sheetView>
  </sheetViews>
  <sheetFormatPr defaultColWidth="8.6640625" defaultRowHeight="14.25" x14ac:dyDescent="0.45"/>
  <cols>
    <col min="1" max="1" width="2" customWidth="1"/>
    <col min="2" max="2" width="50" customWidth="1"/>
    <col min="3" max="3" width="11" customWidth="1"/>
    <col min="4" max="10" width="13" customWidth="1"/>
    <col min="11" max="11" width="14" customWidth="1"/>
  </cols>
  <sheetData>
    <row r="1" spans="2:9" ht="20.65" x14ac:dyDescent="0.6">
      <c r="B1" s="35" t="s">
        <v>368</v>
      </c>
    </row>
    <row r="2" spans="2:9" x14ac:dyDescent="0.45">
      <c r="B2" s="36" t="s">
        <v>369</v>
      </c>
    </row>
    <row r="3" spans="2:9" x14ac:dyDescent="0.45">
      <c r="B3" s="9" t="str">
        <f>"Scenario: "&amp;Assumptions!$D$11&amp;"   |   BDT'000 unless stated"</f>
        <v>Scenario: Base case   |   BDT'000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372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373</v>
      </c>
      <c r="C8" s="38" t="s">
        <v>149</v>
      </c>
      <c r="D8" s="136">
        <f>$E$62</f>
        <v>17080078</v>
      </c>
      <c r="E8" s="136">
        <v>0</v>
      </c>
      <c r="F8" s="136">
        <f>Assumptions!$D$68*Assumptions!$D$69</f>
        <v>3003000</v>
      </c>
      <c r="G8" s="136">
        <v>0</v>
      </c>
      <c r="H8" s="136">
        <v>0</v>
      </c>
      <c r="I8" s="136">
        <v>0</v>
      </c>
    </row>
    <row r="9" spans="2:9" x14ac:dyDescent="0.45">
      <c r="B9" s="17" t="s">
        <v>374</v>
      </c>
      <c r="C9" s="38" t="s">
        <v>149</v>
      </c>
      <c r="D9" s="136">
        <f>$E$63*Assumptions!$G$17</f>
        <v>3835704.8</v>
      </c>
      <c r="E9" s="136">
        <v>0</v>
      </c>
      <c r="F9" s="136">
        <v>0</v>
      </c>
      <c r="G9" s="136">
        <v>0</v>
      </c>
      <c r="H9" s="136">
        <v>0</v>
      </c>
      <c r="I9" s="136">
        <v>0</v>
      </c>
    </row>
    <row r="10" spans="2:9" x14ac:dyDescent="0.45">
      <c r="B10" s="17" t="s">
        <v>375</v>
      </c>
      <c r="C10" s="38" t="s">
        <v>149</v>
      </c>
      <c r="D10" s="136">
        <f>$E$64*Assumptions!$G$17</f>
        <v>18764146.899999999</v>
      </c>
      <c r="E10" s="136">
        <v>0</v>
      </c>
      <c r="F10" s="136">
        <f>Assumptions!$D$67*Assumptions!$G$17</f>
        <v>2000000</v>
      </c>
      <c r="G10" s="136">
        <v>0</v>
      </c>
      <c r="H10" s="136">
        <v>0</v>
      </c>
      <c r="I10" s="136">
        <v>0</v>
      </c>
    </row>
    <row r="11" spans="2:9" x14ac:dyDescent="0.45">
      <c r="B11" s="17" t="s">
        <v>376</v>
      </c>
      <c r="C11" s="38" t="s">
        <v>149</v>
      </c>
      <c r="D11" s="136">
        <f>$E$67*Assumptions!$G$17</f>
        <v>1000000</v>
      </c>
      <c r="E11" s="136">
        <v>0</v>
      </c>
      <c r="F11" s="136">
        <v>0</v>
      </c>
      <c r="G11" s="136">
        <v>0</v>
      </c>
      <c r="H11" s="136">
        <v>0</v>
      </c>
      <c r="I11" s="136">
        <v>0</v>
      </c>
    </row>
    <row r="12" spans="2:9" x14ac:dyDescent="0.45">
      <c r="B12" s="17" t="s">
        <v>377</v>
      </c>
      <c r="C12" s="38" t="s">
        <v>149</v>
      </c>
      <c r="D12" s="136">
        <f>$E$82*Assumptions!$G$17</f>
        <v>1912312.5</v>
      </c>
      <c r="E12" s="136">
        <v>0</v>
      </c>
      <c r="F12" s="136">
        <v>0</v>
      </c>
      <c r="G12" s="136">
        <v>0</v>
      </c>
      <c r="H12" s="136">
        <v>0</v>
      </c>
      <c r="I12" s="136">
        <v>0</v>
      </c>
    </row>
    <row r="13" spans="2:9" x14ac:dyDescent="0.45">
      <c r="B13" s="17" t="s">
        <v>378</v>
      </c>
      <c r="C13" s="38" t="s">
        <v>149</v>
      </c>
      <c r="D13" s="136">
        <f>$E$66*Assumptions!$G$17</f>
        <v>3000000</v>
      </c>
      <c r="E13" s="136">
        <v>0</v>
      </c>
      <c r="F13" s="136">
        <v>0</v>
      </c>
      <c r="G13" s="136">
        <v>0</v>
      </c>
      <c r="H13" s="136">
        <v>0</v>
      </c>
      <c r="I13" s="136">
        <v>0</v>
      </c>
    </row>
    <row r="14" spans="2:9" x14ac:dyDescent="0.45">
      <c r="B14" s="17" t="s">
        <v>379</v>
      </c>
      <c r="C14" s="38" t="s">
        <v>149</v>
      </c>
      <c r="D14" s="136">
        <f>$E$65*Assumptions!$G$17</f>
        <v>200000</v>
      </c>
      <c r="E14" s="136">
        <v>0</v>
      </c>
      <c r="F14" s="136">
        <v>0</v>
      </c>
      <c r="G14" s="136">
        <v>0</v>
      </c>
      <c r="H14" s="136">
        <v>0</v>
      </c>
      <c r="I14" s="136">
        <v>0</v>
      </c>
    </row>
    <row r="15" spans="2:9" x14ac:dyDescent="0.45">
      <c r="B15" s="15" t="s">
        <v>380</v>
      </c>
      <c r="C15" s="137" t="s">
        <v>149</v>
      </c>
      <c r="D15" s="138">
        <f t="shared" ref="D15:I15" si="0">SUM(D8:D14)</f>
        <v>45792242.200000003</v>
      </c>
      <c r="E15" s="138">
        <f t="shared" si="0"/>
        <v>0</v>
      </c>
      <c r="F15" s="138">
        <f t="shared" si="0"/>
        <v>5003000</v>
      </c>
      <c r="G15" s="138">
        <f t="shared" si="0"/>
        <v>0</v>
      </c>
      <c r="H15" s="138">
        <f t="shared" si="0"/>
        <v>0</v>
      </c>
      <c r="I15" s="138">
        <f t="shared" si="0"/>
        <v>0</v>
      </c>
    </row>
    <row r="16" spans="2:9" x14ac:dyDescent="0.45">
      <c r="B16" s="17" t="s">
        <v>381</v>
      </c>
      <c r="C16" s="38" t="s">
        <v>149</v>
      </c>
      <c r="D16" s="139">
        <f t="shared" ref="D16:I16" si="1">D15-D8-D9</f>
        <v>24876459.400000002</v>
      </c>
      <c r="E16" s="139">
        <f t="shared" si="1"/>
        <v>0</v>
      </c>
      <c r="F16" s="139">
        <f t="shared" si="1"/>
        <v>2000000</v>
      </c>
      <c r="G16" s="139">
        <f t="shared" si="1"/>
        <v>0</v>
      </c>
      <c r="H16" s="139">
        <f t="shared" si="1"/>
        <v>0</v>
      </c>
      <c r="I16" s="139">
        <f t="shared" si="1"/>
        <v>0</v>
      </c>
    </row>
    <row r="18" spans="2:9" x14ac:dyDescent="0.45">
      <c r="B18" s="134" t="s">
        <v>382</v>
      </c>
      <c r="C18" s="135"/>
      <c r="D18" s="135"/>
      <c r="E18" s="135"/>
      <c r="F18" s="135"/>
      <c r="G18" s="135"/>
      <c r="H18" s="135"/>
      <c r="I18" s="135"/>
    </row>
    <row r="19" spans="2:9" x14ac:dyDescent="0.45">
      <c r="B19" s="17" t="s">
        <v>375</v>
      </c>
      <c r="C19" s="140">
        <f>Assumptions!$D$77</f>
        <v>0.1</v>
      </c>
      <c r="E19" s="139">
        <f>MIN($C19*SUM($D10:D10),SUM($D10:D10)-SUM($D19:D19))</f>
        <v>1876414.69</v>
      </c>
      <c r="F19" s="139">
        <f>MIN($C19*SUM($D10:E10),SUM($D10:E10)-SUM($D19:E19))</f>
        <v>1876414.69</v>
      </c>
      <c r="G19" s="139">
        <f>MIN($C19*SUM($D10:F10),SUM($D10:F10)-SUM($D19:F19))</f>
        <v>2076414.69</v>
      </c>
      <c r="H19" s="139">
        <f>MIN($C19*SUM($D10:G10),SUM($D10:G10)-SUM($D19:G19))</f>
        <v>2076414.69</v>
      </c>
      <c r="I19" s="139">
        <f>MIN($C19*SUM($D10:H10),SUM($D10:H10)-SUM($D19:H19))</f>
        <v>2076414.69</v>
      </c>
    </row>
    <row r="20" spans="2:9" x14ac:dyDescent="0.45">
      <c r="B20" s="17" t="s">
        <v>376</v>
      </c>
      <c r="C20" s="140">
        <f>Assumptions!$D$78</f>
        <v>0.2</v>
      </c>
      <c r="E20" s="139">
        <f>MIN($C20*SUM($D11:D11),SUM($D11:D11)-SUM($D20:D20))</f>
        <v>200000</v>
      </c>
      <c r="F20" s="139">
        <f>MIN($C20*SUM($D11:E11),SUM($D11:E11)-SUM($D20:E20))</f>
        <v>200000</v>
      </c>
      <c r="G20" s="139">
        <f>MIN($C20*SUM($D11:F11),SUM($D11:F11)-SUM($D20:F20))</f>
        <v>200000</v>
      </c>
      <c r="H20" s="139">
        <f>MIN($C20*SUM($D11:G11),SUM($D11:G11)-SUM($D20:G20))</f>
        <v>200000</v>
      </c>
      <c r="I20" s="139">
        <f>MIN($C20*SUM($D11:H11),SUM($D11:H11)-SUM($D20:H20))</f>
        <v>200000</v>
      </c>
    </row>
    <row r="21" spans="2:9" x14ac:dyDescent="0.45">
      <c r="B21" s="17" t="s">
        <v>383</v>
      </c>
      <c r="C21" s="140">
        <f>Assumptions!$D$79</f>
        <v>0.2</v>
      </c>
      <c r="E21" s="139">
        <f>MIN($C21*SUM($D12:D12),SUM($D12:D12)-SUM($D21:D21))</f>
        <v>382462.5</v>
      </c>
      <c r="F21" s="139">
        <f>MIN($C21*SUM($D12:E12),SUM($D12:E12)-SUM($D21:E21))</f>
        <v>382462.5</v>
      </c>
      <c r="G21" s="139">
        <f>MIN($C21*SUM($D12:F12),SUM($D12:F12)-SUM($D21:F21))</f>
        <v>382462.5</v>
      </c>
      <c r="H21" s="139">
        <f>MIN($C21*SUM($D12:G12),SUM($D12:G12)-SUM($D21:G21))</f>
        <v>382462.5</v>
      </c>
      <c r="I21" s="139">
        <f>MIN($C21*SUM($D12:H12),SUM($D12:H12)-SUM($D21:H21))</f>
        <v>382462.5</v>
      </c>
    </row>
    <row r="22" spans="2:9" x14ac:dyDescent="0.45">
      <c r="B22" s="17" t="s">
        <v>378</v>
      </c>
      <c r="C22" s="140">
        <f>Assumptions!$D$80</f>
        <v>0.2</v>
      </c>
      <c r="E22" s="139">
        <f>MIN($C22*SUM($D13:D13),SUM($D13:D13)-SUM($D22:D22))</f>
        <v>600000</v>
      </c>
      <c r="F22" s="139">
        <f>MIN($C22*SUM($D13:E13),SUM($D13:E13)-SUM($D22:E22))</f>
        <v>600000</v>
      </c>
      <c r="G22" s="139">
        <f>MIN($C22*SUM($D13:F13),SUM($D13:F13)-SUM($D22:F22))</f>
        <v>600000</v>
      </c>
      <c r="H22" s="139">
        <f>MIN($C22*SUM($D13:G13),SUM($D13:G13)-SUM($D22:G22))</f>
        <v>600000</v>
      </c>
      <c r="I22" s="139">
        <f>MIN($C22*SUM($D13:H13),SUM($D13:H13)-SUM($D22:H22))</f>
        <v>600000</v>
      </c>
    </row>
    <row r="23" spans="2:9" x14ac:dyDescent="0.45">
      <c r="B23" s="17" t="s">
        <v>379</v>
      </c>
      <c r="C23" s="140">
        <f>Assumptions!$D$81</f>
        <v>0.2</v>
      </c>
      <c r="E23" s="139">
        <f>MIN($C23*SUM($D14:D14),SUM($D14:D14)-SUM($D23:D23))</f>
        <v>40000</v>
      </c>
      <c r="F23" s="139">
        <f>MIN($C23*SUM($D14:E14),SUM($D14:E14)-SUM($D23:E23))</f>
        <v>40000</v>
      </c>
      <c r="G23" s="139">
        <f>MIN($C23*SUM($D14:F14),SUM($D14:F14)-SUM($D23:F23))</f>
        <v>40000</v>
      </c>
      <c r="H23" s="139">
        <f>MIN($C23*SUM($D14:G14),SUM($D14:G14)-SUM($D23:G23))</f>
        <v>40000</v>
      </c>
      <c r="I23" s="139">
        <f>MIN($C23*SUM($D14:H14),SUM($D14:H14)-SUM($D23:H23))</f>
        <v>40000</v>
      </c>
    </row>
    <row r="24" spans="2:9" x14ac:dyDescent="0.45">
      <c r="B24" s="15" t="s">
        <v>384</v>
      </c>
      <c r="C24" s="137" t="s">
        <v>149</v>
      </c>
      <c r="E24" s="138">
        <f>SUM(E19:E23)</f>
        <v>3098877.19</v>
      </c>
      <c r="F24" s="138">
        <f>SUM(F19:F23)</f>
        <v>3098877.19</v>
      </c>
      <c r="G24" s="138">
        <f>SUM(G19:G23)</f>
        <v>3298877.19</v>
      </c>
      <c r="H24" s="138">
        <f>SUM(H19:H23)</f>
        <v>3298877.19</v>
      </c>
      <c r="I24" s="138">
        <f>SUM(I19:I23)</f>
        <v>3298877.19</v>
      </c>
    </row>
    <row r="25" spans="2:9" x14ac:dyDescent="0.45">
      <c r="B25" s="17" t="s">
        <v>385</v>
      </c>
      <c r="C25" s="38" t="s">
        <v>149</v>
      </c>
      <c r="E25" s="139">
        <f>E24*Assumptions!$D$59</f>
        <v>2169214.0329999998</v>
      </c>
      <c r="F25" s="139">
        <f>F24*Assumptions!$D$59</f>
        <v>2169214.0329999998</v>
      </c>
      <c r="G25" s="139">
        <f>G24*Assumptions!$D$59</f>
        <v>2309214.0329999998</v>
      </c>
      <c r="H25" s="139">
        <f>H24*Assumptions!$D$59</f>
        <v>2309214.0329999998</v>
      </c>
      <c r="I25" s="139">
        <f>I24*Assumptions!$D$59</f>
        <v>2309214.0329999998</v>
      </c>
    </row>
    <row r="27" spans="2:9" x14ac:dyDescent="0.45">
      <c r="B27" s="134" t="s">
        <v>386</v>
      </c>
      <c r="C27" s="135"/>
      <c r="D27" s="135"/>
      <c r="E27" s="135"/>
      <c r="F27" s="135"/>
      <c r="G27" s="135"/>
      <c r="H27" s="135"/>
      <c r="I27" s="135"/>
    </row>
    <row r="28" spans="2:9" x14ac:dyDescent="0.45">
      <c r="B28" s="29" t="s">
        <v>387</v>
      </c>
      <c r="C28" s="38" t="s">
        <v>149</v>
      </c>
      <c r="D28" s="139">
        <f>SUM($D10:D10)+SUM($D11:D11)+SUM($D12:D12)+SUM($D13:D13)+SUM($D14:D14)</f>
        <v>24876459.399999999</v>
      </c>
      <c r="E28" s="139">
        <f>SUM($D10:E10)+SUM($D11:E11)+SUM($D12:E12)+SUM($D13:E13)+SUM($D14:E14)</f>
        <v>24876459.399999999</v>
      </c>
      <c r="F28" s="139">
        <f>SUM($D10:F10)+SUM($D11:F11)+SUM($D12:F12)+SUM($D13:F13)+SUM($D14:F14)</f>
        <v>26876459.399999999</v>
      </c>
      <c r="G28" s="139">
        <f>SUM($D10:G10)+SUM($D11:G11)+SUM($D12:G12)+SUM($D13:G13)+SUM($D14:G14)</f>
        <v>26876459.399999999</v>
      </c>
      <c r="H28" s="139">
        <f>SUM($D10:H10)+SUM($D11:H11)+SUM($D12:H12)+SUM($D13:H13)+SUM($D14:H14)</f>
        <v>26876459.399999999</v>
      </c>
      <c r="I28" s="139">
        <f>SUM($D10:I10)+SUM($D11:I11)+SUM($D12:I12)+SUM($D13:I13)+SUM($D14:I14)</f>
        <v>26876459.399999999</v>
      </c>
    </row>
    <row r="29" spans="2:9" x14ac:dyDescent="0.45">
      <c r="B29" s="29" t="s">
        <v>388</v>
      </c>
      <c r="C29" s="38" t="s">
        <v>149</v>
      </c>
      <c r="D29" s="139">
        <f>SUM($D24:D24)</f>
        <v>0</v>
      </c>
      <c r="E29" s="139">
        <f>SUM($D24:E24)</f>
        <v>3098877.19</v>
      </c>
      <c r="F29" s="139">
        <f>SUM($D24:F24)</f>
        <v>6197754.3799999999</v>
      </c>
      <c r="G29" s="139">
        <f>SUM($D24:G24)</f>
        <v>9496631.5700000003</v>
      </c>
      <c r="H29" s="139">
        <f>SUM($D24:H24)</f>
        <v>12795508.76</v>
      </c>
      <c r="I29" s="139">
        <f>SUM($D24:I24)</f>
        <v>16094385.949999999</v>
      </c>
    </row>
    <row r="30" spans="2:9" x14ac:dyDescent="0.45">
      <c r="B30" s="15" t="s">
        <v>389</v>
      </c>
      <c r="C30" s="137" t="s">
        <v>149</v>
      </c>
      <c r="D30" s="138">
        <f t="shared" ref="D30:I30" si="2">D28-D29</f>
        <v>24876459.399999999</v>
      </c>
      <c r="E30" s="138">
        <f t="shared" si="2"/>
        <v>21777582.209999997</v>
      </c>
      <c r="F30" s="138">
        <f t="shared" si="2"/>
        <v>20678705.02</v>
      </c>
      <c r="G30" s="138">
        <f t="shared" si="2"/>
        <v>17379827.829999998</v>
      </c>
      <c r="H30" s="138">
        <f t="shared" si="2"/>
        <v>14080950.639999999</v>
      </c>
      <c r="I30" s="138">
        <f t="shared" si="2"/>
        <v>10782073.449999999</v>
      </c>
    </row>
    <row r="31" spans="2:9" x14ac:dyDescent="0.45">
      <c r="B31" s="29" t="s">
        <v>390</v>
      </c>
      <c r="C31" s="38" t="s">
        <v>149</v>
      </c>
      <c r="D31" s="139">
        <f>SUM($D8:D8)+SUM($D9:D9)</f>
        <v>20915782.800000001</v>
      </c>
      <c r="E31" s="139">
        <f>SUM($D8:E8)+SUM($D9:E9)</f>
        <v>20915782.800000001</v>
      </c>
      <c r="F31" s="139">
        <f>SUM($D8:F8)+SUM($D9:F9)</f>
        <v>23918782.800000001</v>
      </c>
      <c r="G31" s="139">
        <f>SUM($D8:G8)+SUM($D9:G9)</f>
        <v>23918782.800000001</v>
      </c>
      <c r="H31" s="139">
        <f>SUM($D8:H8)+SUM($D9:H9)</f>
        <v>23918782.800000001</v>
      </c>
      <c r="I31" s="139">
        <f>SUM($D8:I8)+SUM($D9:I9)</f>
        <v>23918782.800000001</v>
      </c>
    </row>
    <row r="32" spans="2:9" x14ac:dyDescent="0.45">
      <c r="B32" s="15" t="s">
        <v>391</v>
      </c>
      <c r="C32" s="137" t="s">
        <v>149</v>
      </c>
      <c r="D32" s="138">
        <f t="shared" ref="D32:I32" si="3">D30+D31</f>
        <v>45792242.200000003</v>
      </c>
      <c r="E32" s="138">
        <f t="shared" si="3"/>
        <v>42693365.009999998</v>
      </c>
      <c r="F32" s="138">
        <f t="shared" si="3"/>
        <v>44597487.82</v>
      </c>
      <c r="G32" s="138">
        <f t="shared" si="3"/>
        <v>41298610.629999995</v>
      </c>
      <c r="H32" s="138">
        <f t="shared" si="3"/>
        <v>37999733.439999998</v>
      </c>
      <c r="I32" s="138">
        <f t="shared" si="3"/>
        <v>34700856.25</v>
      </c>
    </row>
    <row r="33" spans="2:9" x14ac:dyDescent="0.45">
      <c r="B33" s="29" t="s">
        <v>392</v>
      </c>
      <c r="C33" s="38" t="s">
        <v>149</v>
      </c>
      <c r="D33" s="139">
        <f t="shared" ref="D33:I33" si="4">D28+D31</f>
        <v>45792242.200000003</v>
      </c>
      <c r="E33" s="139">
        <f t="shared" si="4"/>
        <v>45792242.200000003</v>
      </c>
      <c r="F33" s="139">
        <f t="shared" si="4"/>
        <v>50795242.200000003</v>
      </c>
      <c r="G33" s="139">
        <f t="shared" si="4"/>
        <v>50795242.200000003</v>
      </c>
      <c r="H33" s="139">
        <f t="shared" si="4"/>
        <v>50795242.200000003</v>
      </c>
      <c r="I33" s="139">
        <f t="shared" si="4"/>
        <v>50795242.200000003</v>
      </c>
    </row>
    <row r="34" spans="2:9" x14ac:dyDescent="0.45">
      <c r="B34" s="29" t="s">
        <v>393</v>
      </c>
      <c r="C34" s="38" t="s">
        <v>149</v>
      </c>
      <c r="D34" s="139">
        <f>SUM($D8:D8)+SUM($D9:D9)+SUM($D10:D10)</f>
        <v>39679929.700000003</v>
      </c>
      <c r="E34" s="139">
        <f>SUM($D8:E8)+SUM($D9:E9)+SUM($D10:E10)</f>
        <v>39679929.700000003</v>
      </c>
      <c r="F34" s="139">
        <f>SUM($D8:F8)+SUM($D9:F9)+SUM($D10:F10)</f>
        <v>44682929.700000003</v>
      </c>
      <c r="G34" s="139">
        <f>SUM($D8:G8)+SUM($D9:G9)+SUM($D10:G10)</f>
        <v>44682929.700000003</v>
      </c>
      <c r="H34" s="139">
        <f>SUM($D8:H8)+SUM($D9:H9)+SUM($D10:H10)</f>
        <v>44682929.700000003</v>
      </c>
      <c r="I34" s="139">
        <f>SUM($D8:I8)+SUM($D9:I9)+SUM($D10:I10)</f>
        <v>44682929.700000003</v>
      </c>
    </row>
    <row r="58" spans="2:5" ht="15.4" x14ac:dyDescent="0.45">
      <c r="B58" s="94" t="s">
        <v>394</v>
      </c>
    </row>
    <row r="60" spans="2:5" ht="15" customHeight="1" x14ac:dyDescent="0.45">
      <c r="B60" s="141" t="s">
        <v>395</v>
      </c>
      <c r="D60" s="142"/>
    </row>
    <row r="61" spans="2:5" ht="15" customHeight="1" x14ac:dyDescent="0.45">
      <c r="B61" s="1" t="s">
        <v>277</v>
      </c>
      <c r="C61" s="81" t="s">
        <v>268</v>
      </c>
      <c r="D61" s="143" t="s">
        <v>396</v>
      </c>
      <c r="E61" s="81" t="s">
        <v>281</v>
      </c>
    </row>
    <row r="62" spans="2:5" ht="15" customHeight="1" x14ac:dyDescent="0.45">
      <c r="B62" s="61" t="s">
        <v>373</v>
      </c>
      <c r="C62" s="144">
        <v>1589</v>
      </c>
      <c r="D62" s="59">
        <f>E62/C62</f>
        <v>10748.947765890498</v>
      </c>
      <c r="E62" s="75">
        <v>17080078</v>
      </c>
    </row>
    <row r="63" spans="2:5" ht="15" customHeight="1" x14ac:dyDescent="0.45">
      <c r="B63" s="61" t="s">
        <v>397</v>
      </c>
      <c r="C63" s="144">
        <v>17</v>
      </c>
      <c r="D63" s="59">
        <f>E63/C63</f>
        <v>225629.69411764704</v>
      </c>
      <c r="E63" s="75">
        <v>3835704.8</v>
      </c>
    </row>
    <row r="64" spans="2:5" ht="15" customHeight="1" x14ac:dyDescent="0.45">
      <c r="B64" s="61" t="s">
        <v>398</v>
      </c>
      <c r="C64" s="61"/>
      <c r="D64" s="61"/>
      <c r="E64" s="75">
        <v>18764146.899999999</v>
      </c>
    </row>
    <row r="65" spans="2:5" ht="15" customHeight="1" x14ac:dyDescent="0.45">
      <c r="B65" s="61" t="s">
        <v>399</v>
      </c>
      <c r="C65" s="61"/>
      <c r="D65" s="61"/>
      <c r="E65" s="75">
        <v>200000</v>
      </c>
    </row>
    <row r="66" spans="2:5" ht="15" customHeight="1" x14ac:dyDescent="0.45">
      <c r="B66" s="61" t="s">
        <v>400</v>
      </c>
      <c r="C66" s="61"/>
      <c r="D66" s="61"/>
      <c r="E66" s="75">
        <v>3000000</v>
      </c>
    </row>
    <row r="67" spans="2:5" ht="15" customHeight="1" x14ac:dyDescent="0.45">
      <c r="B67" s="61" t="s">
        <v>401</v>
      </c>
      <c r="C67" s="144">
        <v>10</v>
      </c>
      <c r="D67" s="59">
        <f>E67/C67</f>
        <v>100000</v>
      </c>
      <c r="E67" s="75">
        <v>1000000</v>
      </c>
    </row>
    <row r="68" spans="2:5" ht="15" customHeight="1" x14ac:dyDescent="0.45">
      <c r="B68" s="65" t="s">
        <v>284</v>
      </c>
      <c r="C68" s="61"/>
      <c r="D68" s="63"/>
      <c r="E68" s="78">
        <f>SUM(E62:E67)</f>
        <v>43879929.700000003</v>
      </c>
    </row>
    <row r="70" spans="2:5" ht="15" customHeight="1" x14ac:dyDescent="0.45">
      <c r="B70" s="141" t="s">
        <v>383</v>
      </c>
    </row>
    <row r="71" spans="2:5" ht="15" customHeight="1" x14ac:dyDescent="0.45">
      <c r="B71" s="1" t="s">
        <v>277</v>
      </c>
      <c r="C71" s="81" t="s">
        <v>268</v>
      </c>
      <c r="D71" s="143" t="s">
        <v>396</v>
      </c>
      <c r="E71" s="81" t="s">
        <v>281</v>
      </c>
    </row>
    <row r="72" spans="2:5" ht="15" customHeight="1" x14ac:dyDescent="0.45">
      <c r="B72" s="61" t="s">
        <v>402</v>
      </c>
      <c r="C72" s="144">
        <v>4</v>
      </c>
      <c r="D72" s="75">
        <v>15000</v>
      </c>
      <c r="E72" s="59">
        <f>C72*D72</f>
        <v>60000</v>
      </c>
    </row>
    <row r="73" spans="2:5" ht="15" customHeight="1" x14ac:dyDescent="0.45">
      <c r="B73" s="61" t="s">
        <v>403</v>
      </c>
      <c r="C73" s="76">
        <v>0</v>
      </c>
      <c r="D73" s="63"/>
      <c r="E73" s="75">
        <v>25000</v>
      </c>
    </row>
    <row r="74" spans="2:5" ht="15" customHeight="1" x14ac:dyDescent="0.45">
      <c r="B74" s="61" t="s">
        <v>404</v>
      </c>
      <c r="C74" s="144">
        <v>1</v>
      </c>
      <c r="D74" s="75">
        <v>80000</v>
      </c>
      <c r="E74" s="59">
        <f t="shared" ref="E74:E80" si="5">C74*D74</f>
        <v>80000</v>
      </c>
    </row>
    <row r="75" spans="2:5" ht="15" customHeight="1" x14ac:dyDescent="0.45">
      <c r="B75" s="61" t="s">
        <v>405</v>
      </c>
      <c r="C75" s="144">
        <v>1</v>
      </c>
      <c r="D75" s="75">
        <v>20000</v>
      </c>
      <c r="E75" s="59">
        <f t="shared" si="5"/>
        <v>20000</v>
      </c>
    </row>
    <row r="76" spans="2:5" ht="15" customHeight="1" x14ac:dyDescent="0.45">
      <c r="B76" s="61" t="s">
        <v>406</v>
      </c>
      <c r="C76" s="144">
        <v>2</v>
      </c>
      <c r="D76" s="75">
        <v>2000</v>
      </c>
      <c r="E76" s="59">
        <f t="shared" si="5"/>
        <v>4000</v>
      </c>
    </row>
    <row r="77" spans="2:5" ht="15" customHeight="1" x14ac:dyDescent="0.45">
      <c r="B77" s="61" t="s">
        <v>407</v>
      </c>
      <c r="C77" s="144">
        <v>2</v>
      </c>
      <c r="D77" s="75">
        <v>35000</v>
      </c>
      <c r="E77" s="59">
        <f t="shared" si="5"/>
        <v>70000</v>
      </c>
    </row>
    <row r="78" spans="2:5" ht="15" customHeight="1" x14ac:dyDescent="0.45">
      <c r="B78" s="61" t="s">
        <v>408</v>
      </c>
      <c r="C78" s="144">
        <v>1</v>
      </c>
      <c r="D78" s="75">
        <v>345000</v>
      </c>
      <c r="E78" s="59">
        <f t="shared" si="5"/>
        <v>345000</v>
      </c>
    </row>
    <row r="79" spans="2:5" ht="15" customHeight="1" x14ac:dyDescent="0.45">
      <c r="B79" s="61" t="s">
        <v>409</v>
      </c>
      <c r="C79" s="144">
        <v>20</v>
      </c>
      <c r="D79" s="75">
        <v>60800</v>
      </c>
      <c r="E79" s="59">
        <f t="shared" si="5"/>
        <v>1216000</v>
      </c>
    </row>
    <row r="80" spans="2:5" ht="15" customHeight="1" x14ac:dyDescent="0.45">
      <c r="B80" s="61" t="s">
        <v>410</v>
      </c>
      <c r="C80" s="144">
        <v>5</v>
      </c>
      <c r="D80" s="75">
        <v>250</v>
      </c>
      <c r="E80" s="59">
        <f t="shared" si="5"/>
        <v>1250</v>
      </c>
    </row>
    <row r="81" spans="2:5" ht="15" customHeight="1" x14ac:dyDescent="0.45">
      <c r="B81" s="61" t="s">
        <v>411</v>
      </c>
      <c r="C81" s="145">
        <v>0.05</v>
      </c>
      <c r="D81" s="63"/>
      <c r="E81" s="59">
        <f>SUM(E72:E80)*C81</f>
        <v>91062.5</v>
      </c>
    </row>
    <row r="82" spans="2:5" ht="15" customHeight="1" x14ac:dyDescent="0.45">
      <c r="B82" s="65" t="s">
        <v>284</v>
      </c>
      <c r="C82" s="61"/>
      <c r="D82" s="61"/>
      <c r="E82" s="78">
        <f>SUM(E72:E81)</f>
        <v>1912312.5</v>
      </c>
    </row>
    <row r="84" spans="2:5" ht="15" customHeight="1" x14ac:dyDescent="0.45">
      <c r="B84" s="54" t="s">
        <v>412</v>
      </c>
      <c r="C84" s="54"/>
      <c r="D84" s="54"/>
      <c r="E84" s="146">
        <f>E82+E68</f>
        <v>45792242.200000003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  <pageSetUpPr fitToPage="1"/>
  </sheetPr>
  <dimension ref="B1:K75"/>
  <sheetViews>
    <sheetView showGridLines="0" zoomScaleNormal="100" workbookViewId="0">
      <pane xSplit="3" ySplit="5" topLeftCell="D61" activePane="bottomRight" state="frozen"/>
      <selection pane="topRight" activeCell="D1" sqref="D1"/>
      <selection pane="bottomLeft" activeCell="A6" sqref="A6"/>
      <selection pane="bottomRight" activeCell="J75" sqref="J75"/>
    </sheetView>
  </sheetViews>
  <sheetFormatPr defaultColWidth="8.6640625" defaultRowHeight="14.25" x14ac:dyDescent="0.45"/>
  <cols>
    <col min="1" max="1" width="2" customWidth="1"/>
    <col min="2" max="2" width="56" customWidth="1"/>
    <col min="3" max="3" width="11" customWidth="1"/>
    <col min="4" max="10" width="13" customWidth="1"/>
    <col min="11" max="11" width="70" customWidth="1"/>
  </cols>
  <sheetData>
    <row r="1" spans="2:9" ht="20.65" x14ac:dyDescent="0.6">
      <c r="B1" s="35" t="s">
        <v>413</v>
      </c>
    </row>
    <row r="2" spans="2:9" x14ac:dyDescent="0.45">
      <c r="B2" s="36" t="s">
        <v>414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415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416</v>
      </c>
      <c r="C8" s="38" t="s">
        <v>149</v>
      </c>
      <c r="E8" s="136">
        <f>Hatchery!D52*Assumptions!$G$14*Assumptions!$G$15</f>
        <v>8000000</v>
      </c>
      <c r="F8" s="136">
        <f>Hatchery!G52*Assumptions!$G$14*Assumptions!$G$15</f>
        <v>21000000.000000004</v>
      </c>
      <c r="G8" s="136">
        <f>Hatchery!J52*Assumptions!$G$14*Assumptions!$G$15</f>
        <v>30870000.000000004</v>
      </c>
      <c r="H8" s="136">
        <f>Hatchery!M52*Assumptions!$G$14*Assumptions!$G$15</f>
        <v>37044000.000000007</v>
      </c>
      <c r="I8" s="136">
        <f>Hatchery!P52*Assumptions!$G$14*Assumptions!$G$15</f>
        <v>38896200.000000007</v>
      </c>
    </row>
    <row r="9" spans="2:9" x14ac:dyDescent="0.45">
      <c r="B9" s="17" t="s">
        <v>417</v>
      </c>
      <c r="C9" s="38" t="s">
        <v>149</v>
      </c>
      <c r="E9" s="136">
        <f>Hatchery!D53*Assumptions!$G$14*Assumptions!$G$15</f>
        <v>1400000</v>
      </c>
      <c r="F9" s="136">
        <f>Hatchery!G53*Assumptions!$G$14*Assumptions!$G$15</f>
        <v>5880000</v>
      </c>
      <c r="G9" s="136">
        <f>Hatchery!J53*Assumptions!$G$14*Assumptions!$G$15</f>
        <v>11962125</v>
      </c>
      <c r="H9" s="136">
        <f>Hatchery!M53*Assumptions!$G$14*Assumptions!$G$15</f>
        <v>9724050</v>
      </c>
      <c r="I9" s="136">
        <f>Hatchery!P53*Assumptions!$G$14*Assumptions!$G$15</f>
        <v>10210252.5</v>
      </c>
    </row>
    <row r="10" spans="2:9" x14ac:dyDescent="0.45">
      <c r="B10" s="17" t="s">
        <v>418</v>
      </c>
      <c r="C10" s="38" t="s">
        <v>149</v>
      </c>
      <c r="E10" s="136">
        <f>Hatchery!D54*Assumptions!$G$14*Assumptions!$G$15</f>
        <v>0</v>
      </c>
      <c r="F10" s="136">
        <f>Hatchery!G54*Assumptions!$G$14*Assumptions!$G$15</f>
        <v>0</v>
      </c>
      <c r="G10" s="136">
        <f>Hatchery!J54*Assumptions!$G$14*Assumptions!$G$15</f>
        <v>0</v>
      </c>
      <c r="H10" s="136">
        <f>Hatchery!M54*Assumptions!$G$14*Assumptions!$G$15</f>
        <v>4167450.0000000005</v>
      </c>
      <c r="I10" s="136">
        <f>Hatchery!P54*Assumptions!$G$14*Assumptions!$G$15</f>
        <v>0</v>
      </c>
    </row>
    <row r="11" spans="2:9" x14ac:dyDescent="0.45">
      <c r="B11" s="17" t="s">
        <v>419</v>
      </c>
      <c r="C11" s="38" t="s">
        <v>149</v>
      </c>
      <c r="E11" s="136">
        <f>Hatchery!D55*Assumptions!$G$14*Assumptions!$G$15</f>
        <v>0</v>
      </c>
      <c r="F11" s="136">
        <f>Hatchery!G55*Assumptions!$G$14*Assumptions!$G$15</f>
        <v>0</v>
      </c>
      <c r="G11" s="136">
        <f>Hatchery!J55*Assumptions!$G$14*Assumptions!$G$15</f>
        <v>0</v>
      </c>
      <c r="H11" s="136">
        <f>Hatchery!M55*Assumptions!$G$14*Assumptions!$G$15</f>
        <v>6945750</v>
      </c>
      <c r="I11" s="136">
        <f>Hatchery!P55*Assumptions!$G$14*Assumptions!$G$15</f>
        <v>0</v>
      </c>
    </row>
    <row r="12" spans="2:9" x14ac:dyDescent="0.45">
      <c r="B12" s="15" t="s">
        <v>420</v>
      </c>
      <c r="C12" s="137" t="s">
        <v>149</v>
      </c>
      <c r="E12" s="138">
        <f>E8+E9+E10+E11</f>
        <v>9400000</v>
      </c>
      <c r="F12" s="138">
        <f>F8+F9+F10+F11</f>
        <v>26880000.000000004</v>
      </c>
      <c r="G12" s="138">
        <f>G8+G9+G10+G11</f>
        <v>42832125</v>
      </c>
      <c r="H12" s="138">
        <f>H8+H9+H10+H11</f>
        <v>57881250.000000007</v>
      </c>
      <c r="I12" s="138">
        <f>I8+I9+I10+I11</f>
        <v>49106452.500000007</v>
      </c>
    </row>
    <row r="13" spans="2:9" x14ac:dyDescent="0.45">
      <c r="B13" s="17" t="s">
        <v>421</v>
      </c>
      <c r="C13" s="38" t="s">
        <v>149</v>
      </c>
      <c r="E13" s="136">
        <f>Farming!D58*Assumptions!$G$14*Assumptions!$G$15</f>
        <v>880000</v>
      </c>
      <c r="F13" s="136">
        <f>Farming!G58*Assumptions!$G$14*Assumptions!$G$15</f>
        <v>8662500</v>
      </c>
      <c r="G13" s="136">
        <f>Farming!J58*Assumptions!$G$14*Assumptions!$G$15</f>
        <v>9095625</v>
      </c>
      <c r="H13" s="136">
        <f>Farming!M58*Assumptions!$G$14*Assumptions!$G$15</f>
        <v>9550406.25</v>
      </c>
      <c r="I13" s="136">
        <f>Farming!P58*Assumptions!$G$14*Assumptions!$G$15</f>
        <v>10027926.5625</v>
      </c>
    </row>
    <row r="14" spans="2:9" x14ac:dyDescent="0.45">
      <c r="B14" s="17" t="s">
        <v>422</v>
      </c>
      <c r="C14" s="38" t="s">
        <v>149</v>
      </c>
      <c r="E14" s="136">
        <f>Farming!D59*Assumptions!$G$14*Assumptions!$G$15</f>
        <v>1800000</v>
      </c>
      <c r="F14" s="136">
        <f>Farming!G59*Assumptions!$G$14*Assumptions!$G$15</f>
        <v>14175000</v>
      </c>
      <c r="G14" s="136">
        <f>Farming!J59*Assumptions!$G$14*Assumptions!$G$15</f>
        <v>14883750.000000002</v>
      </c>
      <c r="H14" s="136">
        <f>Farming!M59*Assumptions!$G$14*Assumptions!$G$15</f>
        <v>15627937.500000002</v>
      </c>
      <c r="I14" s="136">
        <f>Farming!P59*Assumptions!$G$14*Assumptions!$G$15</f>
        <v>16409334.375000004</v>
      </c>
    </row>
    <row r="15" spans="2:9" x14ac:dyDescent="0.45">
      <c r="B15" s="15" t="s">
        <v>423</v>
      </c>
      <c r="C15" s="137" t="s">
        <v>149</v>
      </c>
      <c r="E15" s="138">
        <f>E13+E14</f>
        <v>2680000</v>
      </c>
      <c r="F15" s="138">
        <f>F13+F14</f>
        <v>22837500</v>
      </c>
      <c r="G15" s="138">
        <f>G13+G14</f>
        <v>23979375</v>
      </c>
      <c r="H15" s="138">
        <f>H13+H14</f>
        <v>25178343.75</v>
      </c>
      <c r="I15" s="138">
        <f>I13+I14</f>
        <v>26437260.937500004</v>
      </c>
    </row>
    <row r="16" spans="2:9" x14ac:dyDescent="0.45">
      <c r="B16" s="15" t="s">
        <v>291</v>
      </c>
      <c r="C16" s="137" t="s">
        <v>149</v>
      </c>
      <c r="E16" s="138">
        <f>E12+E15</f>
        <v>12080000</v>
      </c>
      <c r="F16" s="138">
        <f>F12+F15</f>
        <v>49717500</v>
      </c>
      <c r="G16" s="138">
        <f>G12+G15</f>
        <v>66811500</v>
      </c>
      <c r="H16" s="138">
        <f>H12+H15</f>
        <v>83059593.75</v>
      </c>
      <c r="I16" s="138">
        <f>I12+I15</f>
        <v>75543713.437500015</v>
      </c>
    </row>
    <row r="18" spans="2:9" x14ac:dyDescent="0.45">
      <c r="B18" s="134" t="s">
        <v>424</v>
      </c>
      <c r="C18" s="135"/>
      <c r="D18" s="135"/>
      <c r="E18" s="135"/>
      <c r="F18" s="135"/>
      <c r="G18" s="135"/>
      <c r="H18" s="135"/>
      <c r="I18" s="135"/>
    </row>
    <row r="19" spans="2:9" x14ac:dyDescent="0.45">
      <c r="B19" s="17" t="s">
        <v>425</v>
      </c>
      <c r="C19" s="38" t="s">
        <v>149</v>
      </c>
      <c r="E19" s="47">
        <f>Farming!C58*Assumptions!$G$14</f>
        <v>110</v>
      </c>
      <c r="F19" s="47">
        <f>Farming!F58*Assumptions!$G$14</f>
        <v>115.5</v>
      </c>
      <c r="G19" s="47">
        <f>Farming!I58*Assumptions!$G$14</f>
        <v>121.27500000000001</v>
      </c>
      <c r="H19" s="47">
        <f>Farming!L58*Assumptions!$G$14</f>
        <v>127.33875</v>
      </c>
      <c r="I19" s="47">
        <f>Farming!O58*Assumptions!$G$14</f>
        <v>133.70568750000001</v>
      </c>
    </row>
    <row r="20" spans="2:9" x14ac:dyDescent="0.45">
      <c r="B20" s="17" t="s">
        <v>426</v>
      </c>
      <c r="C20" s="38" t="s">
        <v>149</v>
      </c>
      <c r="E20" s="47">
        <f>Farming!C59*Assumptions!$G$14</f>
        <v>180</v>
      </c>
      <c r="F20" s="47">
        <f>Farming!F59*Assumptions!$G$14</f>
        <v>189</v>
      </c>
      <c r="G20" s="47">
        <f>Farming!I59*Assumptions!$G$14</f>
        <v>198.45000000000002</v>
      </c>
      <c r="H20" s="47">
        <f>Farming!L59*Assumptions!$G$14</f>
        <v>208.37250000000003</v>
      </c>
      <c r="I20" s="47">
        <f>Farming!O59*Assumptions!$G$14</f>
        <v>218.79112500000005</v>
      </c>
    </row>
    <row r="21" spans="2:9" x14ac:dyDescent="0.45">
      <c r="B21" s="17" t="s">
        <v>427</v>
      </c>
      <c r="C21" s="38" t="s">
        <v>149</v>
      </c>
      <c r="E21" s="47">
        <f>Hatchery!C52*Assumptions!$G$14</f>
        <v>0.8</v>
      </c>
      <c r="F21" s="47">
        <f>Hatchery!F52*Assumptions!$G$14</f>
        <v>0.84000000000000008</v>
      </c>
      <c r="G21" s="47">
        <f>Hatchery!I52*Assumptions!$G$14</f>
        <v>0.88200000000000012</v>
      </c>
      <c r="H21" s="47">
        <f>Hatchery!L52*Assumptions!$G$14</f>
        <v>0.92610000000000015</v>
      </c>
      <c r="I21" s="47">
        <f>Hatchery!O52*Assumptions!$G$14</f>
        <v>0.97240500000000019</v>
      </c>
    </row>
    <row r="22" spans="2:9" x14ac:dyDescent="0.45">
      <c r="B22" s="17" t="s">
        <v>428</v>
      </c>
      <c r="C22" s="38" t="s">
        <v>149</v>
      </c>
      <c r="E22" s="47">
        <f>Hatchery!C53*Assumptions!$G$14</f>
        <v>3500</v>
      </c>
      <c r="F22" s="47">
        <f>Hatchery!F53*Assumptions!$G$14</f>
        <v>3675</v>
      </c>
      <c r="G22" s="47">
        <f>Hatchery!I53*Assumptions!$G$14</f>
        <v>3858.75</v>
      </c>
      <c r="H22" s="47">
        <f>Hatchery!L53*Assumptions!$G$14</f>
        <v>4051.6875</v>
      </c>
      <c r="I22" s="47">
        <f>Hatchery!O53*Assumptions!$G$14</f>
        <v>4254.2718750000004</v>
      </c>
    </row>
    <row r="23" spans="2:9" x14ac:dyDescent="0.45">
      <c r="B23" s="17" t="s">
        <v>429</v>
      </c>
      <c r="C23" s="38" t="s">
        <v>149</v>
      </c>
      <c r="E23" s="47">
        <f>Hatchery!C54*Assumptions!$G$14</f>
        <v>150</v>
      </c>
      <c r="F23" s="47">
        <f>Hatchery!F54*Assumptions!$G$14</f>
        <v>157.5</v>
      </c>
      <c r="G23" s="47">
        <f>Hatchery!I54*Assumptions!$G$14</f>
        <v>165.375</v>
      </c>
      <c r="H23" s="47">
        <f>Hatchery!L54*Assumptions!$G$14</f>
        <v>173.64375000000001</v>
      </c>
      <c r="I23" s="47">
        <f>Hatchery!O54*Assumptions!$G$14</f>
        <v>182.32593750000001</v>
      </c>
    </row>
    <row r="24" spans="2:9" x14ac:dyDescent="0.45">
      <c r="B24" s="17" t="s">
        <v>430</v>
      </c>
      <c r="C24" s="38" t="s">
        <v>149</v>
      </c>
      <c r="E24" s="47">
        <f>Hatchery!C55*Assumptions!$G$14</f>
        <v>300</v>
      </c>
      <c r="F24" s="47">
        <f>Hatchery!F55*Assumptions!$G$14</f>
        <v>315</v>
      </c>
      <c r="G24" s="47">
        <f>Hatchery!I55*Assumptions!$G$14</f>
        <v>330.75</v>
      </c>
      <c r="H24" s="47">
        <f>Hatchery!L55*Assumptions!$G$14</f>
        <v>347.28750000000002</v>
      </c>
      <c r="I24" s="47">
        <f>Hatchery!O55*Assumptions!$G$14</f>
        <v>364.65187500000002</v>
      </c>
    </row>
    <row r="25" spans="2:9" x14ac:dyDescent="0.45">
      <c r="B25" s="17" t="s">
        <v>431</v>
      </c>
      <c r="C25" s="38" t="s">
        <v>138</v>
      </c>
      <c r="F25" s="19">
        <f>IFERROR(F19/E19-1,0)</f>
        <v>5.0000000000000044E-2</v>
      </c>
      <c r="G25" s="19">
        <f>IFERROR(G19/F19-1,0)</f>
        <v>5.0000000000000044E-2</v>
      </c>
      <c r="H25" s="19">
        <f>IFERROR(H19/G19-1,0)</f>
        <v>5.0000000000000044E-2</v>
      </c>
      <c r="I25" s="19">
        <f>IFERROR(I19/H19-1,0)</f>
        <v>5.0000000000000044E-2</v>
      </c>
    </row>
    <row r="27" spans="2:9" x14ac:dyDescent="0.45">
      <c r="B27" s="134" t="s">
        <v>432</v>
      </c>
      <c r="C27" s="135"/>
      <c r="D27" s="135"/>
      <c r="E27" s="135"/>
      <c r="F27" s="135"/>
      <c r="G27" s="135"/>
      <c r="H27" s="135"/>
      <c r="I27" s="135"/>
    </row>
    <row r="28" spans="2:9" x14ac:dyDescent="0.45">
      <c r="B28" s="17" t="s">
        <v>433</v>
      </c>
      <c r="C28" s="38" t="s">
        <v>149</v>
      </c>
      <c r="E28" s="136">
        <f>Hatchery!D45*Assumptions!$G$15*Assumptions!$G$16</f>
        <v>2260084.0084008402</v>
      </c>
      <c r="F28" s="136">
        <f>Hatchery!G45*Assumptions!$G$15*Assumptions!$G$16</f>
        <v>5932720.5220522061</v>
      </c>
      <c r="G28" s="136">
        <f>Hatchery!J45*Assumptions!$G$15*Assumptions!$G$16</f>
        <v>9966970.477047706</v>
      </c>
      <c r="H28" s="136">
        <f>Hatchery!M45*Assumptions!$G$15*Assumptions!$G$16</f>
        <v>10465319.000900092</v>
      </c>
      <c r="I28" s="136">
        <f>Hatchery!P45*Assumptions!$G$15*Assumptions!$G$16</f>
        <v>10988584.950945096</v>
      </c>
    </row>
    <row r="29" spans="2:9" x14ac:dyDescent="0.45">
      <c r="B29" s="17" t="s">
        <v>434</v>
      </c>
      <c r="C29" s="38" t="s">
        <v>149</v>
      </c>
      <c r="E29" s="136">
        <f>Farming!D50*Assumptions!$G$15*Assumptions!$G$16</f>
        <v>2900000</v>
      </c>
      <c r="F29" s="136">
        <f>Farming!G50*Assumptions!$G$15*Assumptions!$G$16</f>
        <v>9135000</v>
      </c>
      <c r="G29" s="136">
        <f>Farming!J50*Assumptions!$G$15*Assumptions!$G$16</f>
        <v>9591750</v>
      </c>
      <c r="H29" s="136">
        <f>Farming!M50*Assumptions!$G$15*Assumptions!$G$16</f>
        <v>10071337.500000002</v>
      </c>
      <c r="I29" s="136">
        <f>Farming!P50*Assumptions!$G$15*Assumptions!$G$16</f>
        <v>10574904.375000002</v>
      </c>
    </row>
    <row r="30" spans="2:9" x14ac:dyDescent="0.45">
      <c r="B30" s="15" t="s">
        <v>435</v>
      </c>
      <c r="C30" s="137" t="s">
        <v>149</v>
      </c>
      <c r="E30" s="138">
        <f>E28+E29</f>
        <v>5160084.0084008407</v>
      </c>
      <c r="F30" s="138">
        <f>F28+F29</f>
        <v>15067720.522052206</v>
      </c>
      <c r="G30" s="138">
        <f>G28+G29</f>
        <v>19558720.477047704</v>
      </c>
      <c r="H30" s="138">
        <f>H28+H29</f>
        <v>20536656.500900093</v>
      </c>
      <c r="I30" s="138">
        <f>I28+I29</f>
        <v>21563489.325945098</v>
      </c>
    </row>
    <row r="31" spans="2:9" x14ac:dyDescent="0.45">
      <c r="B31" s="17" t="s">
        <v>436</v>
      </c>
      <c r="C31" s="38" t="s">
        <v>149</v>
      </c>
      <c r="E31" s="136">
        <f>Hatchery!D42*Assumptions!$G$15</f>
        <v>145000</v>
      </c>
      <c r="F31" s="136">
        <f>Hatchery!G42*Assumptions!$G$15</f>
        <v>362500</v>
      </c>
      <c r="G31" s="136">
        <f>Hatchery!J42*Assumptions!$G$15</f>
        <v>580000</v>
      </c>
      <c r="H31" s="136">
        <f>Hatchery!M42*Assumptions!$G$15</f>
        <v>580000</v>
      </c>
      <c r="I31" s="136">
        <f>Hatchery!P42*Assumptions!$G$15</f>
        <v>580000</v>
      </c>
    </row>
    <row r="32" spans="2:9" x14ac:dyDescent="0.45">
      <c r="B32" s="17" t="s">
        <v>437</v>
      </c>
      <c r="C32" s="38" t="s">
        <v>149</v>
      </c>
      <c r="E32" s="136">
        <f>Farming!D49*Assumptions!$G$15</f>
        <v>780000</v>
      </c>
      <c r="F32" s="136">
        <f>Farming!G49*Assumptions!$G$15</f>
        <v>1170000</v>
      </c>
      <c r="G32" s="136">
        <f>Farming!J49*Assumptions!$G$15</f>
        <v>1170000</v>
      </c>
      <c r="H32" s="136">
        <f>Farming!M49*Assumptions!$G$15</f>
        <v>1170000</v>
      </c>
      <c r="I32" s="136">
        <f>Farming!P49*Assumptions!$G$15</f>
        <v>1170000</v>
      </c>
    </row>
    <row r="33" spans="2:9" x14ac:dyDescent="0.45">
      <c r="B33" s="15" t="s">
        <v>438</v>
      </c>
      <c r="C33" s="137" t="s">
        <v>149</v>
      </c>
      <c r="E33" s="138">
        <f>E31+E32</f>
        <v>925000</v>
      </c>
      <c r="F33" s="138">
        <f>F31+F32</f>
        <v>1532500</v>
      </c>
      <c r="G33" s="138">
        <f>G31+G32</f>
        <v>1750000</v>
      </c>
      <c r="H33" s="138">
        <f>H31+H32</f>
        <v>1750000</v>
      </c>
      <c r="I33" s="138">
        <f>I31+I32</f>
        <v>1750000</v>
      </c>
    </row>
    <row r="34" spans="2:9" x14ac:dyDescent="0.45">
      <c r="B34" s="17" t="s">
        <v>439</v>
      </c>
      <c r="C34" s="38" t="s">
        <v>149</v>
      </c>
      <c r="E34" s="136">
        <f>Hatchery!D46*Assumptions!$G$15</f>
        <v>1600000</v>
      </c>
      <c r="F34" s="136">
        <f>Hatchery!G46*Assumptions!$G$15</f>
        <v>4000000</v>
      </c>
      <c r="G34" s="136">
        <f>Hatchery!J46*Assumptions!$G$15</f>
        <v>6400000</v>
      </c>
      <c r="H34" s="136">
        <f>Hatchery!M46*Assumptions!$G$15</f>
        <v>6400000</v>
      </c>
      <c r="I34" s="136">
        <f>Hatchery!P46*Assumptions!$G$15</f>
        <v>6400000</v>
      </c>
    </row>
    <row r="35" spans="2:9" x14ac:dyDescent="0.45">
      <c r="B35" s="15" t="s">
        <v>440</v>
      </c>
      <c r="C35" s="137" t="s">
        <v>149</v>
      </c>
      <c r="E35" s="138">
        <f>E30+E33+E34</f>
        <v>7685084.0084008407</v>
      </c>
      <c r="F35" s="138">
        <f>F30+F33+F34</f>
        <v>20600220.522052206</v>
      </c>
      <c r="G35" s="138">
        <f>G30+G33+G34</f>
        <v>27708720.477047704</v>
      </c>
      <c r="H35" s="138">
        <f>H30+H33+H34</f>
        <v>28686656.500900093</v>
      </c>
      <c r="I35" s="138">
        <f>I30+I33+I34</f>
        <v>29713489.325945098</v>
      </c>
    </row>
    <row r="36" spans="2:9" x14ac:dyDescent="0.45">
      <c r="B36" s="17" t="s">
        <v>441</v>
      </c>
      <c r="C36" s="38" t="s">
        <v>149</v>
      </c>
      <c r="E36" s="139">
        <f>E64*Assumptions!$G$15</f>
        <v>996250</v>
      </c>
      <c r="F36" s="139">
        <f>F64*Assumptions!$G$15</f>
        <v>1962125</v>
      </c>
      <c r="G36" s="139">
        <f>G64*Assumptions!$G$15</f>
        <v>2067381.25</v>
      </c>
      <c r="H36" s="139">
        <f>H64*Assumptions!$G$15</f>
        <v>2178615.3125</v>
      </c>
      <c r="I36" s="139">
        <f>I64*Assumptions!$G$15</f>
        <v>2296197.578125</v>
      </c>
    </row>
    <row r="37" spans="2:9" x14ac:dyDescent="0.45">
      <c r="B37" s="17" t="s">
        <v>442</v>
      </c>
      <c r="C37" s="38" t="s">
        <v>149</v>
      </c>
      <c r="E37" s="139">
        <f>Assumptions!$D$61*E12</f>
        <v>188000</v>
      </c>
      <c r="F37" s="139">
        <f>Assumptions!$D$61*F12</f>
        <v>537600.00000000012</v>
      </c>
      <c r="G37" s="139">
        <f>Assumptions!$D$61*G12</f>
        <v>856642.5</v>
      </c>
      <c r="H37" s="139">
        <f>Assumptions!$D$61*H12</f>
        <v>1157625.0000000002</v>
      </c>
      <c r="I37" s="139">
        <f>Assumptions!$D$61*I12</f>
        <v>982129.05000000016</v>
      </c>
    </row>
    <row r="38" spans="2:9" x14ac:dyDescent="0.45">
      <c r="B38" s="17" t="s">
        <v>443</v>
      </c>
      <c r="C38" s="38" t="s">
        <v>149</v>
      </c>
      <c r="E38" s="139">
        <f>Assumptions!$D$62*E12</f>
        <v>752000</v>
      </c>
      <c r="F38" s="139">
        <f>Assumptions!$D$62*F12</f>
        <v>2150400.0000000005</v>
      </c>
      <c r="G38" s="139">
        <f>Assumptions!$D$62*G12</f>
        <v>3426570</v>
      </c>
      <c r="H38" s="139">
        <f>Assumptions!$D$62*H12</f>
        <v>4630500.0000000009</v>
      </c>
      <c r="I38" s="139">
        <f>Assumptions!$D$62*I12</f>
        <v>3928516.2000000007</v>
      </c>
    </row>
    <row r="39" spans="2:9" x14ac:dyDescent="0.45">
      <c r="B39" s="15" t="s">
        <v>444</v>
      </c>
      <c r="C39" s="137" t="s">
        <v>149</v>
      </c>
      <c r="E39" s="138">
        <f>E35+E36+E37+E38</f>
        <v>9621334.0084008407</v>
      </c>
      <c r="F39" s="138">
        <f>F35+F36+F37+F38</f>
        <v>25250345.522052206</v>
      </c>
      <c r="G39" s="138">
        <f>G35+G36+G37+G38</f>
        <v>34059314.227047704</v>
      </c>
      <c r="H39" s="138">
        <f>H35+H36+H37+H38</f>
        <v>36653396.813400097</v>
      </c>
      <c r="I39" s="138">
        <f>I35+I36+I37+I38</f>
        <v>36920332.154070102</v>
      </c>
    </row>
    <row r="40" spans="2:9" x14ac:dyDescent="0.45">
      <c r="B40" s="15" t="s">
        <v>445</v>
      </c>
      <c r="C40" s="137" t="s">
        <v>149</v>
      </c>
      <c r="E40" s="138">
        <f>E16-E39</f>
        <v>2458665.9915991593</v>
      </c>
      <c r="F40" s="138">
        <f>F16-F39</f>
        <v>24467154.477947794</v>
      </c>
      <c r="G40" s="138">
        <f>G16-G39</f>
        <v>32752185.772952296</v>
      </c>
      <c r="H40" s="138">
        <f>H16-H39</f>
        <v>46406196.936599903</v>
      </c>
      <c r="I40" s="138">
        <f>I16-I39</f>
        <v>38623381.283429913</v>
      </c>
    </row>
    <row r="41" spans="2:9" x14ac:dyDescent="0.45">
      <c r="B41" s="17" t="s">
        <v>446</v>
      </c>
      <c r="C41" s="38" t="s">
        <v>138</v>
      </c>
      <c r="E41" s="19">
        <f>IFERROR(E40/E16,0)</f>
        <v>0.20353195294695028</v>
      </c>
      <c r="F41" s="19">
        <f>IFERROR(F40/F16,0)</f>
        <v>0.4921235878301965</v>
      </c>
      <c r="G41" s="19">
        <f>IFERROR(G40/G16,0)</f>
        <v>0.49021778844887925</v>
      </c>
      <c r="H41" s="19">
        <f>IFERROR(H40/H16,0)</f>
        <v>0.55870965461590527</v>
      </c>
      <c r="I41" s="19">
        <f>IFERROR(I40/I16,0)</f>
        <v>0.51127194475797644</v>
      </c>
    </row>
    <row r="43" spans="2:9" x14ac:dyDescent="0.45">
      <c r="B43" s="134" t="s">
        <v>447</v>
      </c>
      <c r="C43" s="135"/>
      <c r="D43" s="135"/>
      <c r="E43" s="135"/>
      <c r="F43" s="135"/>
      <c r="G43" s="135"/>
      <c r="H43" s="135"/>
      <c r="I43" s="135"/>
    </row>
    <row r="44" spans="2:9" x14ac:dyDescent="0.45">
      <c r="B44" s="17" t="s">
        <v>448</v>
      </c>
      <c r="C44" s="38" t="s">
        <v>149</v>
      </c>
      <c r="E44" s="139">
        <f>E67+E68+E69+E70</f>
        <v>936000</v>
      </c>
      <c r="F44" s="139">
        <f>F67+F68+F69+F70</f>
        <v>1392300</v>
      </c>
      <c r="G44" s="139">
        <f>G67+G68+G69+G70</f>
        <v>1461915</v>
      </c>
      <c r="H44" s="139">
        <f>H67+H68+H69+H70</f>
        <v>1535010.75</v>
      </c>
      <c r="I44" s="139">
        <f>I67+I68+I69+I70</f>
        <v>1611761.2874999999</v>
      </c>
    </row>
    <row r="45" spans="2:9" x14ac:dyDescent="0.45">
      <c r="B45" s="17" t="s">
        <v>449</v>
      </c>
      <c r="C45" s="38" t="s">
        <v>149</v>
      </c>
      <c r="E45" s="139">
        <f>E73-E44</f>
        <v>230550</v>
      </c>
      <c r="F45" s="139">
        <f>F73-F44</f>
        <v>463365</v>
      </c>
      <c r="G45" s="139">
        <f>G73-G44</f>
        <v>495720.75</v>
      </c>
      <c r="H45" s="139">
        <f>H73-H44</f>
        <v>531138.03750000009</v>
      </c>
      <c r="I45" s="139">
        <f>I73-I44</f>
        <v>569914.31437499984</v>
      </c>
    </row>
    <row r="46" spans="2:9" x14ac:dyDescent="0.45">
      <c r="B46" s="15" t="s">
        <v>450</v>
      </c>
      <c r="C46" s="137" t="s">
        <v>149</v>
      </c>
      <c r="E46" s="138">
        <f>E44+E45</f>
        <v>1166550</v>
      </c>
      <c r="F46" s="138">
        <f>F44+F45</f>
        <v>1855665</v>
      </c>
      <c r="G46" s="138">
        <f>G44+G45</f>
        <v>1957635.75</v>
      </c>
      <c r="H46" s="138">
        <f>H44+H45</f>
        <v>2066148.7875000001</v>
      </c>
      <c r="I46" s="138">
        <f>I44+I45</f>
        <v>2181675.6018749997</v>
      </c>
    </row>
    <row r="47" spans="2:9" x14ac:dyDescent="0.45">
      <c r="B47" s="17" t="s">
        <v>451</v>
      </c>
      <c r="C47" s="38" t="s">
        <v>149</v>
      </c>
      <c r="E47" s="139">
        <f>Assumptions!$D$63</f>
        <v>500000</v>
      </c>
      <c r="F47" s="139">
        <f>Assumptions!$D$63</f>
        <v>500000</v>
      </c>
      <c r="G47" s="139">
        <f>Assumptions!$D$63</f>
        <v>500000</v>
      </c>
      <c r="H47" s="139">
        <f>Assumptions!$D$63</f>
        <v>500000</v>
      </c>
      <c r="I47" s="139">
        <f>Assumptions!$D$63</f>
        <v>500000</v>
      </c>
    </row>
    <row r="48" spans="2:9" x14ac:dyDescent="0.45">
      <c r="B48" s="15" t="s">
        <v>452</v>
      </c>
      <c r="C48" s="137" t="s">
        <v>149</v>
      </c>
      <c r="E48" s="138">
        <f>E46+E47</f>
        <v>1666550</v>
      </c>
      <c r="F48" s="138">
        <f>F46+F47</f>
        <v>2355665</v>
      </c>
      <c r="G48" s="138">
        <f>G46+G47</f>
        <v>2457635.75</v>
      </c>
      <c r="H48" s="138">
        <f>H46+H47</f>
        <v>2566148.7875000001</v>
      </c>
      <c r="I48" s="138">
        <f>I46+I47</f>
        <v>2681675.6018749997</v>
      </c>
    </row>
    <row r="49" spans="2:11" x14ac:dyDescent="0.45">
      <c r="B49" s="15" t="s">
        <v>453</v>
      </c>
      <c r="C49" s="137" t="s">
        <v>149</v>
      </c>
      <c r="E49" s="138">
        <f>E39+E48</f>
        <v>11287884.008400841</v>
      </c>
      <c r="F49" s="138">
        <f>F39+F48</f>
        <v>27606010.522052206</v>
      </c>
      <c r="G49" s="138">
        <f>G39+G48</f>
        <v>36516949.977047704</v>
      </c>
      <c r="H49" s="138">
        <f>H39+H48</f>
        <v>39219545.600900099</v>
      </c>
      <c r="I49" s="138">
        <f>I39+I48</f>
        <v>39602007.755945101</v>
      </c>
    </row>
    <row r="51" spans="2:11" x14ac:dyDescent="0.45">
      <c r="B51" s="15" t="s">
        <v>454</v>
      </c>
      <c r="C51" s="137" t="s">
        <v>149</v>
      </c>
      <c r="E51" s="138">
        <f>E40-E48</f>
        <v>792115.99159915932</v>
      </c>
      <c r="F51" s="138">
        <f>F40-F48</f>
        <v>22111489.477947794</v>
      </c>
      <c r="G51" s="138">
        <f>G40-G48</f>
        <v>30294550.022952296</v>
      </c>
      <c r="H51" s="138">
        <f>H40-H48</f>
        <v>43840048.149099901</v>
      </c>
      <c r="I51" s="138">
        <f>I40-I48</f>
        <v>35941705.681554914</v>
      </c>
    </row>
    <row r="52" spans="2:11" x14ac:dyDescent="0.45">
      <c r="B52" s="17" t="s">
        <v>18</v>
      </c>
      <c r="C52" s="38" t="s">
        <v>138</v>
      </c>
      <c r="E52" s="19">
        <f>IFERROR(E51/E16,0)</f>
        <v>6.5572515860857564E-2</v>
      </c>
      <c r="F52" s="19">
        <f>IFERROR(F51/F16,0)</f>
        <v>0.44474258516513893</v>
      </c>
      <c r="G52" s="19">
        <f>IFERROR(G51/G16,0)</f>
        <v>0.45343316678943441</v>
      </c>
      <c r="H52" s="19">
        <f>IFERROR(H51/H16,0)</f>
        <v>0.52781438205745979</v>
      </c>
      <c r="I52" s="19">
        <f>IFERROR(I51/I16,0)</f>
        <v>0.47577361564692949</v>
      </c>
    </row>
    <row r="54" spans="2:11" x14ac:dyDescent="0.45">
      <c r="B54" s="134" t="s">
        <v>455</v>
      </c>
      <c r="C54" s="135"/>
      <c r="D54" s="135"/>
      <c r="E54" s="135"/>
      <c r="F54" s="135"/>
      <c r="G54" s="135"/>
      <c r="H54" s="135"/>
      <c r="I54" s="135"/>
    </row>
    <row r="55" spans="2:11" ht="25.5" customHeight="1" x14ac:dyDescent="0.45">
      <c r="B55" s="147" t="s">
        <v>277</v>
      </c>
      <c r="C55" s="148" t="s">
        <v>456</v>
      </c>
      <c r="D55" s="148" t="s">
        <v>457</v>
      </c>
      <c r="J55" s="148" t="s">
        <v>125</v>
      </c>
    </row>
    <row r="56" spans="2:11" x14ac:dyDescent="0.45">
      <c r="B56" s="17" t="s">
        <v>458</v>
      </c>
      <c r="C56" s="38" t="s">
        <v>459</v>
      </c>
      <c r="D56" s="149">
        <v>1</v>
      </c>
      <c r="E56" s="103">
        <f>400*5*65</f>
        <v>130000</v>
      </c>
      <c r="F56" s="87">
        <f t="shared" ref="F56:F63" si="0">E56*$D56*(1+$J56)</f>
        <v>143000</v>
      </c>
      <c r="G56" s="87">
        <f t="shared" ref="G56:I63" si="1">F56*(1+$J56)</f>
        <v>157300</v>
      </c>
      <c r="H56" s="87">
        <f t="shared" si="1"/>
        <v>173030</v>
      </c>
      <c r="I56" s="87">
        <f t="shared" si="1"/>
        <v>190333.00000000003</v>
      </c>
      <c r="J56" s="23">
        <f>Assumptions!$D$26</f>
        <v>0.1</v>
      </c>
      <c r="K56" s="40" t="s">
        <v>460</v>
      </c>
    </row>
    <row r="57" spans="2:11" x14ac:dyDescent="0.45">
      <c r="B57" s="17" t="s">
        <v>461</v>
      </c>
      <c r="C57" s="38" t="s">
        <v>459</v>
      </c>
      <c r="D57" s="149">
        <v>2</v>
      </c>
      <c r="E57" s="103">
        <f>750*15</f>
        <v>11250</v>
      </c>
      <c r="F57" s="87">
        <f t="shared" si="0"/>
        <v>23625</v>
      </c>
      <c r="G57" s="87">
        <f t="shared" si="1"/>
        <v>24806.25</v>
      </c>
      <c r="H57" s="87">
        <f t="shared" si="1"/>
        <v>26046.5625</v>
      </c>
      <c r="I57" s="87">
        <f t="shared" si="1"/>
        <v>27348.890625</v>
      </c>
      <c r="J57" s="23">
        <f>Assumptions!$D$27</f>
        <v>0.05</v>
      </c>
      <c r="K57" s="40" t="s">
        <v>462</v>
      </c>
    </row>
    <row r="58" spans="2:11" x14ac:dyDescent="0.45">
      <c r="B58" s="17" t="s">
        <v>463</v>
      </c>
      <c r="C58" s="38" t="s">
        <v>459</v>
      </c>
      <c r="D58" s="149">
        <v>2</v>
      </c>
      <c r="E58" s="103">
        <v>25000</v>
      </c>
      <c r="F58" s="87">
        <f t="shared" si="0"/>
        <v>52500</v>
      </c>
      <c r="G58" s="87">
        <f t="shared" si="1"/>
        <v>55125</v>
      </c>
      <c r="H58" s="87">
        <f t="shared" si="1"/>
        <v>57881.25</v>
      </c>
      <c r="I58" s="87">
        <f t="shared" si="1"/>
        <v>60775.3125</v>
      </c>
      <c r="J58" s="23">
        <f>Assumptions!$D$27</f>
        <v>0.05</v>
      </c>
    </row>
    <row r="59" spans="2:11" x14ac:dyDescent="0.45">
      <c r="B59" s="17" t="s">
        <v>464</v>
      </c>
      <c r="C59" s="38" t="s">
        <v>459</v>
      </c>
      <c r="D59" s="149">
        <v>2</v>
      </c>
      <c r="E59" s="103">
        <v>25000</v>
      </c>
      <c r="F59" s="87">
        <f t="shared" si="0"/>
        <v>52500</v>
      </c>
      <c r="G59" s="87">
        <f t="shared" si="1"/>
        <v>55125</v>
      </c>
      <c r="H59" s="87">
        <f t="shared" si="1"/>
        <v>57881.25</v>
      </c>
      <c r="I59" s="87">
        <f t="shared" si="1"/>
        <v>60775.3125</v>
      </c>
      <c r="J59" s="23">
        <f>Assumptions!$D$27</f>
        <v>0.05</v>
      </c>
    </row>
    <row r="60" spans="2:11" x14ac:dyDescent="0.45">
      <c r="B60" s="17" t="s">
        <v>465</v>
      </c>
      <c r="C60" s="38" t="s">
        <v>459</v>
      </c>
      <c r="D60" s="149">
        <v>2</v>
      </c>
      <c r="E60" s="103">
        <v>500000</v>
      </c>
      <c r="F60" s="87">
        <f t="shared" si="0"/>
        <v>1050000</v>
      </c>
      <c r="G60" s="87">
        <f t="shared" si="1"/>
        <v>1102500</v>
      </c>
      <c r="H60" s="87">
        <f t="shared" si="1"/>
        <v>1157625</v>
      </c>
      <c r="I60" s="87">
        <f t="shared" si="1"/>
        <v>1215506.25</v>
      </c>
      <c r="J60" s="23">
        <f>Assumptions!$D$27</f>
        <v>0.05</v>
      </c>
      <c r="K60" s="40" t="s">
        <v>466</v>
      </c>
    </row>
    <row r="61" spans="2:11" x14ac:dyDescent="0.45">
      <c r="B61" s="17" t="s">
        <v>467</v>
      </c>
      <c r="C61" s="38" t="s">
        <v>459</v>
      </c>
      <c r="D61" s="149">
        <v>2</v>
      </c>
      <c r="E61" s="103">
        <v>250000</v>
      </c>
      <c r="F61" s="87">
        <f t="shared" si="0"/>
        <v>525000</v>
      </c>
      <c r="G61" s="87">
        <f t="shared" si="1"/>
        <v>551250</v>
      </c>
      <c r="H61" s="87">
        <f t="shared" si="1"/>
        <v>578812.5</v>
      </c>
      <c r="I61" s="87">
        <f t="shared" si="1"/>
        <v>607753.125</v>
      </c>
      <c r="J61" s="23">
        <f>Assumptions!$D$27</f>
        <v>0.05</v>
      </c>
    </row>
    <row r="62" spans="2:11" x14ac:dyDescent="0.45">
      <c r="B62" s="17" t="s">
        <v>468</v>
      </c>
      <c r="C62" s="38" t="s">
        <v>459</v>
      </c>
      <c r="D62" s="149">
        <v>2</v>
      </c>
      <c r="E62" s="103">
        <v>30000</v>
      </c>
      <c r="F62" s="87">
        <f t="shared" si="0"/>
        <v>63000</v>
      </c>
      <c r="G62" s="87">
        <f t="shared" si="1"/>
        <v>66150</v>
      </c>
      <c r="H62" s="87">
        <f t="shared" si="1"/>
        <v>69457.5</v>
      </c>
      <c r="I62" s="87">
        <f t="shared" si="1"/>
        <v>72930.375</v>
      </c>
      <c r="J62" s="23">
        <f>Assumptions!$D$27</f>
        <v>0.05</v>
      </c>
    </row>
    <row r="63" spans="2:11" x14ac:dyDescent="0.45">
      <c r="B63" s="17" t="s">
        <v>469</v>
      </c>
      <c r="C63" s="38" t="s">
        <v>459</v>
      </c>
      <c r="D63" s="149">
        <v>2</v>
      </c>
      <c r="E63" s="103">
        <v>25000</v>
      </c>
      <c r="F63" s="87">
        <f t="shared" si="0"/>
        <v>52500</v>
      </c>
      <c r="G63" s="87">
        <f t="shared" si="1"/>
        <v>55125</v>
      </c>
      <c r="H63" s="87">
        <f t="shared" si="1"/>
        <v>57881.25</v>
      </c>
      <c r="I63" s="87">
        <f t="shared" si="1"/>
        <v>60775.3125</v>
      </c>
      <c r="J63" s="23">
        <f>Assumptions!$D$27</f>
        <v>0.05</v>
      </c>
    </row>
    <row r="64" spans="2:11" x14ac:dyDescent="0.45">
      <c r="B64" s="15" t="s">
        <v>470</v>
      </c>
      <c r="C64" s="150"/>
      <c r="E64" s="91">
        <f>SUM(E56:E63)</f>
        <v>996250</v>
      </c>
      <c r="F64" s="91">
        <f>SUM(F56:F63)</f>
        <v>1962125</v>
      </c>
      <c r="G64" s="91">
        <f>SUM(G56:G63)</f>
        <v>2067381.25</v>
      </c>
      <c r="H64" s="91">
        <f>SUM(H56:H63)</f>
        <v>2178615.3125</v>
      </c>
      <c r="I64" s="91">
        <f>SUM(I56:I63)</f>
        <v>2296197.578125</v>
      </c>
    </row>
    <row r="65" spans="2:10" x14ac:dyDescent="0.45">
      <c r="B65" s="17" t="s">
        <v>471</v>
      </c>
      <c r="C65" s="38" t="s">
        <v>472</v>
      </c>
      <c r="D65" s="149">
        <v>2</v>
      </c>
      <c r="E65" s="103">
        <v>25000</v>
      </c>
      <c r="F65" s="87">
        <f>E65*$D65*(1+$J65)</f>
        <v>55000.000000000007</v>
      </c>
      <c r="G65" s="87">
        <f t="shared" ref="G65:I69" si="2">F65*(1+$J65)</f>
        <v>60500.000000000015</v>
      </c>
      <c r="H65" s="87">
        <f t="shared" si="2"/>
        <v>66550.000000000015</v>
      </c>
      <c r="I65" s="87">
        <f t="shared" si="2"/>
        <v>73205.000000000029</v>
      </c>
      <c r="J65" s="23">
        <f>Assumptions!$D$25</f>
        <v>0.1</v>
      </c>
    </row>
    <row r="66" spans="2:10" x14ac:dyDescent="0.45">
      <c r="B66" s="17" t="s">
        <v>473</v>
      </c>
      <c r="C66" s="38" t="s">
        <v>472</v>
      </c>
      <c r="D66" s="149">
        <v>2</v>
      </c>
      <c r="E66" s="103">
        <v>100000</v>
      </c>
      <c r="F66" s="87">
        <f>E66*$D66*(1+$J66)</f>
        <v>220000.00000000003</v>
      </c>
      <c r="G66" s="87">
        <f t="shared" si="2"/>
        <v>242000.00000000006</v>
      </c>
      <c r="H66" s="87">
        <f t="shared" si="2"/>
        <v>266200.00000000006</v>
      </c>
      <c r="I66" s="87">
        <f t="shared" si="2"/>
        <v>292820.00000000012</v>
      </c>
      <c r="J66" s="23">
        <f>Assumptions!$D$25</f>
        <v>0.1</v>
      </c>
    </row>
    <row r="67" spans="2:10" x14ac:dyDescent="0.45">
      <c r="B67" s="17" t="s">
        <v>474</v>
      </c>
      <c r="C67" s="38" t="s">
        <v>472</v>
      </c>
      <c r="D67" s="149">
        <v>2</v>
      </c>
      <c r="E67" s="103">
        <f>60000*6</f>
        <v>360000</v>
      </c>
      <c r="F67" s="87">
        <f>E67*$D67*(1+$J67)</f>
        <v>756000</v>
      </c>
      <c r="G67" s="87">
        <f t="shared" si="2"/>
        <v>793800</v>
      </c>
      <c r="H67" s="87">
        <f t="shared" si="2"/>
        <v>833490</v>
      </c>
      <c r="I67" s="87">
        <f t="shared" si="2"/>
        <v>875164.5</v>
      </c>
      <c r="J67" s="23">
        <f>Assumptions!$D$23</f>
        <v>0.05</v>
      </c>
    </row>
    <row r="68" spans="2:10" x14ac:dyDescent="0.45">
      <c r="B68" s="17" t="s">
        <v>475</v>
      </c>
      <c r="C68" s="38" t="s">
        <v>472</v>
      </c>
      <c r="D68" s="149">
        <v>1</v>
      </c>
      <c r="E68" s="103">
        <f>15000*4*6</f>
        <v>360000</v>
      </c>
      <c r="F68" s="87">
        <f>E68*$D68*(1+$J68)</f>
        <v>378000</v>
      </c>
      <c r="G68" s="87">
        <f t="shared" si="2"/>
        <v>396900</v>
      </c>
      <c r="H68" s="87">
        <f t="shared" si="2"/>
        <v>416745</v>
      </c>
      <c r="I68" s="87">
        <f t="shared" si="2"/>
        <v>437582.25</v>
      </c>
      <c r="J68" s="23">
        <f>Assumptions!$D$23</f>
        <v>0.05</v>
      </c>
    </row>
    <row r="69" spans="2:10" x14ac:dyDescent="0.45">
      <c r="B69" s="17" t="s">
        <v>476</v>
      </c>
      <c r="C69" s="38" t="s">
        <v>472</v>
      </c>
      <c r="D69" s="149">
        <v>1</v>
      </c>
      <c r="E69" s="103">
        <f>8000*3*6</f>
        <v>144000</v>
      </c>
      <c r="F69" s="87">
        <f>E69*$D69*(1+$J69)</f>
        <v>151200</v>
      </c>
      <c r="G69" s="87">
        <f t="shared" si="2"/>
        <v>158760</v>
      </c>
      <c r="H69" s="87">
        <f t="shared" si="2"/>
        <v>166698</v>
      </c>
      <c r="I69" s="87">
        <f t="shared" si="2"/>
        <v>175032.9</v>
      </c>
      <c r="J69" s="23">
        <f>Assumptions!$D$23</f>
        <v>0.05</v>
      </c>
    </row>
    <row r="70" spans="2:10" x14ac:dyDescent="0.45">
      <c r="B70" s="17" t="s">
        <v>477</v>
      </c>
      <c r="C70" s="38" t="s">
        <v>472</v>
      </c>
      <c r="E70" s="87">
        <f>SUM(E67:E69)/12</f>
        <v>72000</v>
      </c>
      <c r="F70" s="87">
        <f>SUM(F67:F69)/12</f>
        <v>107100</v>
      </c>
      <c r="G70" s="87">
        <f>SUM(G67:G69)/12</f>
        <v>112455</v>
      </c>
      <c r="H70" s="87">
        <f>SUM(H67:H69)/12</f>
        <v>118077.75</v>
      </c>
      <c r="I70" s="87">
        <f>SUM(I67:I69)/12</f>
        <v>123981.6375</v>
      </c>
    </row>
    <row r="71" spans="2:10" x14ac:dyDescent="0.45">
      <c r="B71" s="17" t="s">
        <v>478</v>
      </c>
      <c r="C71" s="38" t="s">
        <v>472</v>
      </c>
      <c r="D71" s="149">
        <v>2</v>
      </c>
      <c r="E71" s="103">
        <v>50000</v>
      </c>
      <c r="F71" s="87">
        <f>E71*$D71*(1+$J71)</f>
        <v>100000</v>
      </c>
      <c r="G71" s="87">
        <f>F71*(1+$J71)</f>
        <v>100000</v>
      </c>
      <c r="H71" s="87">
        <f>G71*(1+$J71)</f>
        <v>100000</v>
      </c>
      <c r="I71" s="87">
        <f>H71*(1+$J71)</f>
        <v>100000</v>
      </c>
    </row>
    <row r="72" spans="2:10" x14ac:dyDescent="0.45">
      <c r="B72" s="17" t="s">
        <v>479</v>
      </c>
      <c r="C72" s="38" t="s">
        <v>472</v>
      </c>
      <c r="D72" s="151">
        <v>0.05</v>
      </c>
      <c r="E72" s="87">
        <f>SUM(E65:E71)*$D72</f>
        <v>55550</v>
      </c>
      <c r="F72" s="87">
        <f>SUM(F65:F71)*$D72</f>
        <v>88365</v>
      </c>
      <c r="G72" s="87">
        <f>SUM(G65:G71)*$D72</f>
        <v>93220.75</v>
      </c>
      <c r="H72" s="87">
        <f>SUM(H65:H71)*$D72</f>
        <v>98388.037500000006</v>
      </c>
      <c r="I72" s="87">
        <f>SUM(I65:I71)*$D72</f>
        <v>103889.314375</v>
      </c>
    </row>
    <row r="73" spans="2:10" x14ac:dyDescent="0.45">
      <c r="B73" s="15" t="s">
        <v>480</v>
      </c>
      <c r="C73" s="150"/>
      <c r="E73" s="91">
        <f>SUM(E65:E72)</f>
        <v>1166550</v>
      </c>
      <c r="F73" s="91">
        <f>SUM(F65:F72)</f>
        <v>1855665</v>
      </c>
      <c r="G73" s="91">
        <f>SUM(G65:G72)</f>
        <v>1957635.75</v>
      </c>
      <c r="H73" s="91">
        <f>SUM(H65:H72)</f>
        <v>2066148.7875000001</v>
      </c>
      <c r="I73" s="91">
        <f>SUM(I65:I72)</f>
        <v>2181675.6018749997</v>
      </c>
    </row>
    <row r="75" spans="2:10" x14ac:dyDescent="0.45">
      <c r="B75" s="40" t="s">
        <v>481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  <pageSetUpPr fitToPage="1"/>
  </sheetPr>
  <dimension ref="B1:I32"/>
  <sheetViews>
    <sheetView showGridLines="0" tabSelected="1" zoomScaleNormal="100" workbookViewId="0">
      <pane xSplit="3" ySplit="5" topLeftCell="D38" activePane="bottomRight" state="frozen"/>
      <selection pane="topRight" activeCell="D1" sqref="D1"/>
      <selection pane="bottomLeft" activeCell="A6" sqref="A6"/>
      <selection pane="bottomRight" activeCell="E59" sqref="E59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482</v>
      </c>
    </row>
    <row r="2" spans="2:9" x14ac:dyDescent="0.45">
      <c r="B2" s="36" t="s">
        <v>483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484</v>
      </c>
      <c r="C7" s="135"/>
      <c r="D7" s="135"/>
      <c r="E7" s="135"/>
      <c r="F7" s="135"/>
      <c r="G7" s="135"/>
      <c r="H7" s="135"/>
      <c r="I7" s="135"/>
    </row>
    <row r="8" spans="2:9" x14ac:dyDescent="0.45">
      <c r="B8" s="29" t="s">
        <v>5</v>
      </c>
      <c r="C8" s="38" t="s">
        <v>149</v>
      </c>
      <c r="E8" s="136">
        <f>Operations!E16</f>
        <v>12080000</v>
      </c>
      <c r="F8" s="136">
        <f>Operations!F16</f>
        <v>49717500</v>
      </c>
      <c r="G8" s="136">
        <f>Operations!G16</f>
        <v>66811500</v>
      </c>
      <c r="H8" s="136">
        <f>Operations!H16</f>
        <v>83059593.75</v>
      </c>
      <c r="I8" s="136">
        <f>Operations!I16</f>
        <v>75543713.437500015</v>
      </c>
    </row>
    <row r="9" spans="2:9" x14ac:dyDescent="0.45">
      <c r="B9" s="29" t="s">
        <v>485</v>
      </c>
      <c r="C9" s="38" t="s">
        <v>149</v>
      </c>
      <c r="E9" s="136">
        <f>Operations!E35+Operations!E36</f>
        <v>8681334.0084008407</v>
      </c>
      <c r="F9" s="136">
        <f>Operations!F35+Operations!F36</f>
        <v>22562345.522052206</v>
      </c>
      <c r="G9" s="136">
        <f>Operations!G35+Operations!G36</f>
        <v>29776101.727047704</v>
      </c>
      <c r="H9" s="136">
        <f>Operations!H35+Operations!H36</f>
        <v>30865271.813400093</v>
      </c>
      <c r="I9" s="136">
        <f>Operations!I35+Operations!I36</f>
        <v>32009686.904070098</v>
      </c>
    </row>
    <row r="11" spans="2:9" x14ac:dyDescent="0.45">
      <c r="B11" s="134" t="s">
        <v>486</v>
      </c>
      <c r="C11" s="135"/>
      <c r="D11" s="135"/>
      <c r="E11" s="135"/>
      <c r="F11" s="135"/>
      <c r="G11" s="135"/>
      <c r="H11" s="135"/>
      <c r="I11" s="135"/>
    </row>
    <row r="12" spans="2:9" x14ac:dyDescent="0.45">
      <c r="B12" s="17" t="s">
        <v>487</v>
      </c>
      <c r="C12" s="38" t="s">
        <v>149</v>
      </c>
      <c r="D12" s="139">
        <v>0</v>
      </c>
      <c r="E12" s="139">
        <f>E8*Assumptions!$D$64/365</f>
        <v>992876.71232876717</v>
      </c>
      <c r="F12" s="139">
        <f>F8*Assumptions!$D$64/365</f>
        <v>4086369.8630136987</v>
      </c>
      <c r="G12" s="139">
        <f>G8*Assumptions!$D$64/365</f>
        <v>5491356.1643835614</v>
      </c>
      <c r="H12" s="139">
        <f>H8*Assumptions!$D$64/365</f>
        <v>6826815.9246575339</v>
      </c>
      <c r="I12" s="139">
        <f>I8*Assumptions!$D$64/365</f>
        <v>6209072.3373287683</v>
      </c>
    </row>
    <row r="13" spans="2:9" x14ac:dyDescent="0.45">
      <c r="B13" s="17" t="s">
        <v>488</v>
      </c>
      <c r="C13" s="38" t="s">
        <v>149</v>
      </c>
      <c r="D13" s="139">
        <v>0</v>
      </c>
      <c r="E13" s="139">
        <f>E9*Assumptions!$D$65/365</f>
        <v>2140602.906181029</v>
      </c>
      <c r="F13" s="139">
        <f>F9*Assumptions!$D$65/365</f>
        <v>5563318.0739306808</v>
      </c>
      <c r="G13" s="139">
        <f>G9*Assumptions!$D$65/365</f>
        <v>7342052.4806418996</v>
      </c>
      <c r="H13" s="139">
        <f>H9*Assumptions!$D$65/365</f>
        <v>7610614.9676876944</v>
      </c>
      <c r="I13" s="139">
        <f>I9*Assumptions!$D$65/365</f>
        <v>7892799.5105926264</v>
      </c>
    </row>
    <row r="14" spans="2:9" x14ac:dyDescent="0.45">
      <c r="B14" s="17" t="s">
        <v>489</v>
      </c>
      <c r="C14" s="38" t="s">
        <v>149</v>
      </c>
      <c r="D14" s="139">
        <v>0</v>
      </c>
      <c r="E14" s="139">
        <f>E9*Assumptions!$D$66/365</f>
        <v>713534.30206034309</v>
      </c>
      <c r="F14" s="139">
        <f>F9*Assumptions!$D$66/365</f>
        <v>1854439.3579768934</v>
      </c>
      <c r="G14" s="139">
        <f>G9*Assumptions!$D$66/365</f>
        <v>2447350.8268806334</v>
      </c>
      <c r="H14" s="139">
        <f>H9*Assumptions!$D$66/365</f>
        <v>2536871.6558958981</v>
      </c>
      <c r="I14" s="139">
        <f>I9*Assumptions!$D$66/365</f>
        <v>2630933.1701975423</v>
      </c>
    </row>
    <row r="15" spans="2:9" x14ac:dyDescent="0.45">
      <c r="B15" s="15" t="s">
        <v>53</v>
      </c>
      <c r="C15" s="137" t="s">
        <v>149</v>
      </c>
      <c r="D15" s="138">
        <f t="shared" ref="D15:I15" si="0">D12+D13-D14</f>
        <v>0</v>
      </c>
      <c r="E15" s="138">
        <f t="shared" si="0"/>
        <v>2419945.3164494531</v>
      </c>
      <c r="F15" s="138">
        <f t="shared" si="0"/>
        <v>7795248.5789674874</v>
      </c>
      <c r="G15" s="138">
        <f t="shared" si="0"/>
        <v>10386057.818144828</v>
      </c>
      <c r="H15" s="138">
        <f t="shared" si="0"/>
        <v>11900559.236449329</v>
      </c>
      <c r="I15" s="138">
        <f t="shared" si="0"/>
        <v>11470938.677723851</v>
      </c>
    </row>
    <row r="16" spans="2:9" x14ac:dyDescent="0.45">
      <c r="B16" s="29" t="s">
        <v>490</v>
      </c>
      <c r="C16" s="38" t="s">
        <v>149</v>
      </c>
      <c r="E16" s="139">
        <f>E15-D15</f>
        <v>2419945.3164494531</v>
      </c>
      <c r="F16" s="139">
        <f>F15-E15</f>
        <v>5375303.2625180343</v>
      </c>
      <c r="G16" s="139">
        <f>G15-F15</f>
        <v>2590809.2391773406</v>
      </c>
      <c r="H16" s="139">
        <f>H15-G15</f>
        <v>1514501.4183045011</v>
      </c>
      <c r="I16" s="139">
        <f>I15-H15</f>
        <v>-429620.55872547813</v>
      </c>
    </row>
    <row r="17" spans="2:9" x14ac:dyDescent="0.45">
      <c r="B17" s="29" t="s">
        <v>54</v>
      </c>
      <c r="C17" s="38" t="s">
        <v>138</v>
      </c>
      <c r="E17" s="19">
        <f>IFERROR(E15/E8,0)</f>
        <v>0.20032659904382891</v>
      </c>
      <c r="F17" s="19">
        <f>IFERROR(F15/F8,0)</f>
        <v>0.15679083982435738</v>
      </c>
      <c r="G17" s="19">
        <f>IFERROR(G15/G8,0)</f>
        <v>0.1554531453139778</v>
      </c>
      <c r="H17" s="19">
        <f>IFERROR(H15/H8,0)</f>
        <v>0.14327735905220856</v>
      </c>
      <c r="I17" s="19">
        <f>IFERROR(I15/I8,0)</f>
        <v>0.15184504647384278</v>
      </c>
    </row>
    <row r="19" spans="2:9" x14ac:dyDescent="0.45">
      <c r="B19" s="134" t="s">
        <v>55</v>
      </c>
      <c r="C19" s="135"/>
      <c r="D19" s="135"/>
      <c r="E19" s="135"/>
      <c r="F19" s="135"/>
      <c r="G19" s="135"/>
      <c r="H19" s="135"/>
      <c r="I19" s="135"/>
    </row>
    <row r="20" spans="2:9" x14ac:dyDescent="0.45">
      <c r="B20" s="17" t="s">
        <v>491</v>
      </c>
      <c r="C20" s="38" t="s">
        <v>492</v>
      </c>
      <c r="E20" s="31">
        <f>Assumptions!$D$64</f>
        <v>30</v>
      </c>
      <c r="F20" s="31">
        <f>Assumptions!$D$64</f>
        <v>30</v>
      </c>
      <c r="G20" s="31">
        <f>Assumptions!$D$64</f>
        <v>30</v>
      </c>
      <c r="H20" s="31">
        <f>Assumptions!$D$64</f>
        <v>30</v>
      </c>
      <c r="I20" s="31">
        <f>Assumptions!$D$64</f>
        <v>30</v>
      </c>
    </row>
    <row r="21" spans="2:9" x14ac:dyDescent="0.45">
      <c r="B21" s="17" t="s">
        <v>493</v>
      </c>
      <c r="C21" s="38" t="s">
        <v>492</v>
      </c>
      <c r="E21" s="31">
        <f>Assumptions!$D$65</f>
        <v>90</v>
      </c>
      <c r="F21" s="31">
        <f>Assumptions!$D$65</f>
        <v>90</v>
      </c>
      <c r="G21" s="31">
        <f>Assumptions!$D$65</f>
        <v>90</v>
      </c>
      <c r="H21" s="31">
        <f>Assumptions!$D$65</f>
        <v>90</v>
      </c>
      <c r="I21" s="31">
        <f>Assumptions!$D$65</f>
        <v>90</v>
      </c>
    </row>
    <row r="22" spans="2:9" x14ac:dyDescent="0.45">
      <c r="B22" s="29" t="s">
        <v>494</v>
      </c>
      <c r="C22" s="38" t="s">
        <v>492</v>
      </c>
      <c r="E22" s="31">
        <f>E20+E21</f>
        <v>120</v>
      </c>
      <c r="F22" s="31">
        <f>F20+F21</f>
        <v>120</v>
      </c>
      <c r="G22" s="31">
        <f>G20+G21</f>
        <v>120</v>
      </c>
      <c r="H22" s="31">
        <f>H20+H21</f>
        <v>120</v>
      </c>
      <c r="I22" s="31">
        <f>I20+I21</f>
        <v>120</v>
      </c>
    </row>
    <row r="23" spans="2:9" x14ac:dyDescent="0.45">
      <c r="B23" s="17" t="s">
        <v>495</v>
      </c>
      <c r="C23" s="38" t="s">
        <v>492</v>
      </c>
      <c r="E23" s="31">
        <f>Assumptions!$D$66</f>
        <v>30</v>
      </c>
      <c r="F23" s="31">
        <f>Assumptions!$D$66</f>
        <v>30</v>
      </c>
      <c r="G23" s="31">
        <f>Assumptions!$D$66</f>
        <v>30</v>
      </c>
      <c r="H23" s="31">
        <f>Assumptions!$D$66</f>
        <v>30</v>
      </c>
      <c r="I23" s="31">
        <f>Assumptions!$D$66</f>
        <v>30</v>
      </c>
    </row>
    <row r="24" spans="2:9" x14ac:dyDescent="0.45">
      <c r="B24" s="15" t="s">
        <v>496</v>
      </c>
      <c r="C24" s="137" t="s">
        <v>492</v>
      </c>
      <c r="E24" s="152">
        <f>E22-E23</f>
        <v>90</v>
      </c>
      <c r="F24" s="152">
        <f>F22-F23</f>
        <v>90</v>
      </c>
      <c r="G24" s="152">
        <f>G22-G23</f>
        <v>90</v>
      </c>
      <c r="H24" s="152">
        <f>H22-H23</f>
        <v>90</v>
      </c>
      <c r="I24" s="152">
        <f>I22-I23</f>
        <v>90</v>
      </c>
    </row>
    <row r="28" spans="2:9" x14ac:dyDescent="0.45">
      <c r="B28" s="40" t="s">
        <v>497</v>
      </c>
    </row>
    <row r="29" spans="2:9" x14ac:dyDescent="0.45">
      <c r="B29" t="s">
        <v>498</v>
      </c>
      <c r="D29" s="153">
        <f>H20</f>
        <v>30</v>
      </c>
    </row>
    <row r="30" spans="2:9" x14ac:dyDescent="0.45">
      <c r="B30" t="s">
        <v>499</v>
      </c>
      <c r="D30" s="153">
        <f>H21</f>
        <v>90</v>
      </c>
    </row>
    <row r="31" spans="2:9" x14ac:dyDescent="0.45">
      <c r="B31" t="s">
        <v>500</v>
      </c>
      <c r="D31" s="153">
        <f>H23</f>
        <v>30</v>
      </c>
    </row>
    <row r="32" spans="2:9" x14ac:dyDescent="0.45">
      <c r="B32" t="s">
        <v>501</v>
      </c>
      <c r="D32" s="153">
        <f>H24</f>
        <v>90</v>
      </c>
    </row>
  </sheetData>
  <printOptions horizontalCentered="1"/>
  <pageMargins left="0.5" right="0.5" top="0.7" bottom="0.7" header="0.511811023622047" footer="0.5"/>
  <pageSetup paperSize="9" orientation="portrait" horizontalDpi="300" verticalDpi="300"/>
  <headerFooter>
    <oddFooter>&amp;L&amp;8 Sample Aqua Ltd. - Fish Farming and Hatchery Project&amp;R&amp;8 &amp;A  | 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F9000"/>
    <pageSetUpPr fitToPage="1"/>
  </sheetPr>
  <dimension ref="B1:I35"/>
  <sheetViews>
    <sheetView showGridLines="0" zoomScaleNormal="100" workbookViewId="0">
      <pane xSplit="3" ySplit="5" topLeftCell="D25" activePane="bottomRight" state="frozen"/>
      <selection pane="topRight" activeCell="D1" sqref="D1"/>
      <selection pane="bottomLeft" activeCell="A6" sqref="A6"/>
      <selection pane="bottomRight" activeCell="A46" sqref="A46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502</v>
      </c>
    </row>
    <row r="2" spans="2:9" x14ac:dyDescent="0.45">
      <c r="B2" s="36" t="s">
        <v>503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504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505</v>
      </c>
      <c r="C8" s="38" t="s">
        <v>149</v>
      </c>
      <c r="D8" s="136">
        <f>'FA Schedule'!D8+'FA Schedule'!D9</f>
        <v>20915782.800000001</v>
      </c>
    </row>
    <row r="9" spans="2:9" x14ac:dyDescent="0.45">
      <c r="B9" s="17" t="s">
        <v>506</v>
      </c>
      <c r="C9" s="38" t="s">
        <v>149</v>
      </c>
      <c r="D9" s="136">
        <f>'FA Schedule'!D10+'FA Schedule'!D11</f>
        <v>19764146.899999999</v>
      </c>
    </row>
    <row r="10" spans="2:9" x14ac:dyDescent="0.45">
      <c r="B10" s="17" t="s">
        <v>507</v>
      </c>
      <c r="C10" s="38" t="s">
        <v>149</v>
      </c>
      <c r="D10" s="136">
        <f>'FA Schedule'!D12+'FA Schedule'!D13+'FA Schedule'!D14</f>
        <v>5112312.5</v>
      </c>
    </row>
    <row r="11" spans="2:9" x14ac:dyDescent="0.45">
      <c r="B11" s="15" t="s">
        <v>6</v>
      </c>
      <c r="C11" s="137" t="s">
        <v>149</v>
      </c>
      <c r="D11" s="138">
        <f>SUM(D8:D10)</f>
        <v>45792242.200000003</v>
      </c>
    </row>
    <row r="12" spans="2:9" x14ac:dyDescent="0.45">
      <c r="B12" s="17" t="s">
        <v>8</v>
      </c>
      <c r="C12" s="38" t="s">
        <v>149</v>
      </c>
      <c r="D12" s="136">
        <f>'Working Capital'!E15</f>
        <v>2419945.3164494531</v>
      </c>
    </row>
    <row r="13" spans="2:9" x14ac:dyDescent="0.45">
      <c r="B13" s="15" t="s">
        <v>508</v>
      </c>
      <c r="C13" s="137" t="s">
        <v>149</v>
      </c>
      <c r="D13" s="138">
        <f>D11+D12</f>
        <v>48212187.516449459</v>
      </c>
    </row>
    <row r="15" spans="2:9" x14ac:dyDescent="0.45">
      <c r="B15" s="134" t="s">
        <v>509</v>
      </c>
      <c r="C15" s="135"/>
      <c r="D15" s="135"/>
      <c r="E15" s="135"/>
      <c r="F15" s="135"/>
      <c r="G15" s="135"/>
      <c r="H15" s="135"/>
      <c r="I15" s="135"/>
    </row>
    <row r="16" spans="2:9" x14ac:dyDescent="0.45">
      <c r="B16" s="17" t="s">
        <v>12</v>
      </c>
      <c r="C16" s="38" t="s">
        <v>149</v>
      </c>
      <c r="D16" s="139">
        <f>Assumptions!$D$41*D11</f>
        <v>22896121.100000001</v>
      </c>
    </row>
    <row r="17" spans="2:9" x14ac:dyDescent="0.45">
      <c r="B17" s="17" t="s">
        <v>14</v>
      </c>
      <c r="C17" s="38" t="s">
        <v>149</v>
      </c>
      <c r="D17" s="139">
        <f>D13-D16</f>
        <v>25316066.416449457</v>
      </c>
    </row>
    <row r="18" spans="2:9" x14ac:dyDescent="0.45">
      <c r="B18" s="15" t="s">
        <v>510</v>
      </c>
      <c r="C18" s="137" t="s">
        <v>149</v>
      </c>
      <c r="D18" s="138">
        <f>D16+D17</f>
        <v>48212187.516449459</v>
      </c>
    </row>
    <row r="19" spans="2:9" x14ac:dyDescent="0.45">
      <c r="B19" s="17" t="s">
        <v>511</v>
      </c>
      <c r="C19" s="38" t="s">
        <v>138</v>
      </c>
      <c r="D19" s="19">
        <f>D16/D18</f>
        <v>0.47490317862445258</v>
      </c>
    </row>
    <row r="20" spans="2:9" x14ac:dyDescent="0.45">
      <c r="B20" s="17" t="s">
        <v>512</v>
      </c>
      <c r="C20" s="38" t="s">
        <v>138</v>
      </c>
      <c r="D20" s="19">
        <f>D17/D18</f>
        <v>0.52509682137554736</v>
      </c>
    </row>
    <row r="22" spans="2:9" x14ac:dyDescent="0.45">
      <c r="B22" s="131" t="s">
        <v>370</v>
      </c>
      <c r="C22" s="132" t="s">
        <v>101</v>
      </c>
      <c r="D22" s="132" t="s">
        <v>371</v>
      </c>
      <c r="E22" s="132" t="str">
        <f>"FY"&amp;(Assumptions!$D$7+E23-1)&amp;"-"&amp;TEXT(MOD(Assumptions!$D$7+E23,100),"00")</f>
        <v>FY2026-27</v>
      </c>
      <c r="F22" s="132" t="str">
        <f>"FY"&amp;(Assumptions!$D$7+F23-1)&amp;"-"&amp;TEXT(MOD(Assumptions!$D$7+F23,100),"00")</f>
        <v>FY2027-28</v>
      </c>
      <c r="G22" s="132" t="str">
        <f>"FY"&amp;(Assumptions!$D$7+G23-1)&amp;"-"&amp;TEXT(MOD(Assumptions!$D$7+G23,100),"00")</f>
        <v>FY2028-29</v>
      </c>
      <c r="H22" s="132" t="str">
        <f>"FY"&amp;(Assumptions!$D$7+H23-1)&amp;"-"&amp;TEXT(MOD(Assumptions!$D$7+H23,100),"00")</f>
        <v>FY2029-30</v>
      </c>
      <c r="I22" s="132" t="str">
        <f>"FY"&amp;(Assumptions!$D$7+I23-1)&amp;"-"&amp;TEXT(MOD(Assumptions!$D$7+I23,100),"00")</f>
        <v>FY2030-31</v>
      </c>
    </row>
    <row r="23" spans="2:9" x14ac:dyDescent="0.45">
      <c r="B23" s="131"/>
      <c r="C23" s="132"/>
      <c r="D23" s="133">
        <v>0</v>
      </c>
      <c r="E23" s="133">
        <v>1</v>
      </c>
      <c r="F23" s="133">
        <v>2</v>
      </c>
      <c r="G23" s="133">
        <v>3</v>
      </c>
      <c r="H23" s="133">
        <v>4</v>
      </c>
      <c r="I23" s="133">
        <v>5</v>
      </c>
    </row>
    <row r="24" spans="2:9" x14ac:dyDescent="0.45">
      <c r="B24" s="134" t="s">
        <v>513</v>
      </c>
      <c r="C24" s="135"/>
      <c r="D24" s="135"/>
      <c r="E24" s="135"/>
      <c r="F24" s="135"/>
      <c r="G24" s="135"/>
      <c r="H24" s="135"/>
      <c r="I24" s="135"/>
    </row>
    <row r="25" spans="2:9" x14ac:dyDescent="0.45">
      <c r="B25" s="17" t="s">
        <v>514</v>
      </c>
      <c r="C25" s="38" t="s">
        <v>138</v>
      </c>
      <c r="E25" s="19">
        <f>IF(AND(E$23&gt;Assumptions!$D$43,E$23&lt;=Assumptions!$D$42),1/(Assumptions!$D$42-Assumptions!$D$43),0)</f>
        <v>0</v>
      </c>
      <c r="F25" s="19">
        <f>IF(AND(F$23&gt;Assumptions!$D$43,F$23&lt;=Assumptions!$D$42),1/(Assumptions!$D$42-Assumptions!$D$43),0)</f>
        <v>0.25</v>
      </c>
      <c r="G25" s="19">
        <f>IF(AND(G$23&gt;Assumptions!$D$43,G$23&lt;=Assumptions!$D$42),1/(Assumptions!$D$42-Assumptions!$D$43),0)</f>
        <v>0.25</v>
      </c>
      <c r="H25" s="19">
        <f>IF(AND(H$23&gt;Assumptions!$D$43,H$23&lt;=Assumptions!$D$42),1/(Assumptions!$D$42-Assumptions!$D$43),0)</f>
        <v>0.25</v>
      </c>
      <c r="I25" s="19">
        <f>IF(AND(I$23&gt;Assumptions!$D$43,I$23&lt;=Assumptions!$D$42),1/(Assumptions!$D$42-Assumptions!$D$43),0)</f>
        <v>0.25</v>
      </c>
    </row>
    <row r="26" spans="2:9" x14ac:dyDescent="0.45">
      <c r="B26" s="17" t="s">
        <v>515</v>
      </c>
      <c r="C26" s="38" t="s">
        <v>149</v>
      </c>
      <c r="E26" s="139">
        <f>D29</f>
        <v>22896121.100000001</v>
      </c>
      <c r="F26" s="139">
        <f>E29</f>
        <v>22896121.100000001</v>
      </c>
      <c r="G26" s="139">
        <f>F29</f>
        <v>17172090.825000003</v>
      </c>
      <c r="H26" s="139">
        <f>G29</f>
        <v>11448060.550000003</v>
      </c>
      <c r="I26" s="139">
        <f>H29</f>
        <v>5724030.2750000022</v>
      </c>
    </row>
    <row r="27" spans="2:9" x14ac:dyDescent="0.45">
      <c r="B27" s="17" t="s">
        <v>516</v>
      </c>
      <c r="C27" s="38" t="s">
        <v>149</v>
      </c>
      <c r="D27" s="139">
        <f>D16</f>
        <v>22896121.100000001</v>
      </c>
    </row>
    <row r="28" spans="2:9" x14ac:dyDescent="0.45">
      <c r="B28" s="17" t="s">
        <v>517</v>
      </c>
      <c r="C28" s="38" t="s">
        <v>149</v>
      </c>
      <c r="E28" s="139">
        <f>E25*$D16</f>
        <v>0</v>
      </c>
      <c r="F28" s="139">
        <f>F25*$D16</f>
        <v>5724030.2750000004</v>
      </c>
      <c r="G28" s="139">
        <f>G25*$D16</f>
        <v>5724030.2750000004</v>
      </c>
      <c r="H28" s="139">
        <f>H25*$D16</f>
        <v>5724030.2750000004</v>
      </c>
      <c r="I28" s="139">
        <f>I25*$D16</f>
        <v>5724030.2750000004</v>
      </c>
    </row>
    <row r="29" spans="2:9" x14ac:dyDescent="0.45">
      <c r="B29" s="15" t="s">
        <v>518</v>
      </c>
      <c r="C29" s="137" t="s">
        <v>149</v>
      </c>
      <c r="D29" s="138">
        <f>D27</f>
        <v>22896121.100000001</v>
      </c>
      <c r="E29" s="138">
        <f>E26+E27-E28</f>
        <v>22896121.100000001</v>
      </c>
      <c r="F29" s="138">
        <f>F26+F27-F28</f>
        <v>17172090.825000003</v>
      </c>
      <c r="G29" s="138">
        <f>G26+G27-G28</f>
        <v>11448060.550000003</v>
      </c>
      <c r="H29" s="138">
        <f>H26+H27-H28</f>
        <v>5724030.2750000022</v>
      </c>
      <c r="I29" s="138">
        <f>I26+I27-I28</f>
        <v>0</v>
      </c>
    </row>
    <row r="31" spans="2:9" x14ac:dyDescent="0.45">
      <c r="B31" s="17" t="s">
        <v>519</v>
      </c>
      <c r="C31" s="38" t="s">
        <v>138</v>
      </c>
      <c r="E31" s="19">
        <f>Assumptions!$D$40+Assumptions!$G$18</f>
        <v>0.12</v>
      </c>
      <c r="F31" s="19">
        <f>Assumptions!$D$40+Assumptions!$G$18</f>
        <v>0.12</v>
      </c>
      <c r="G31" s="19">
        <f>Assumptions!$D$40+Assumptions!$G$18</f>
        <v>0.12</v>
      </c>
      <c r="H31" s="19">
        <f>Assumptions!$D$40+Assumptions!$G$18</f>
        <v>0.12</v>
      </c>
      <c r="I31" s="19">
        <f>Assumptions!$D$40+Assumptions!$G$18</f>
        <v>0.12</v>
      </c>
    </row>
    <row r="32" spans="2:9" x14ac:dyDescent="0.45">
      <c r="B32" s="17" t="s">
        <v>520</v>
      </c>
      <c r="C32" s="38" t="s">
        <v>149</v>
      </c>
      <c r="E32" s="139">
        <f>E26*E31</f>
        <v>2747534.5320000001</v>
      </c>
      <c r="F32" s="139">
        <f>F26*F31</f>
        <v>2747534.5320000001</v>
      </c>
      <c r="G32" s="139">
        <f>G26*G31</f>
        <v>2060650.8990000002</v>
      </c>
      <c r="H32" s="139">
        <f>H26*H31</f>
        <v>1373767.2660000003</v>
      </c>
      <c r="I32" s="139">
        <f>I26*I31</f>
        <v>686883.63300000026</v>
      </c>
    </row>
    <row r="33" spans="2:9" x14ac:dyDescent="0.45">
      <c r="B33" s="15" t="s">
        <v>521</v>
      </c>
      <c r="C33" s="137" t="s">
        <v>149</v>
      </c>
      <c r="E33" s="138">
        <f>E32+E28</f>
        <v>2747534.5320000001</v>
      </c>
      <c r="F33" s="138">
        <f>F32+F28</f>
        <v>8471564.807</v>
      </c>
      <c r="G33" s="138">
        <f>G32+G28</f>
        <v>7784681.1740000006</v>
      </c>
      <c r="H33" s="138">
        <f>H32+H28</f>
        <v>7097797.5410000011</v>
      </c>
      <c r="I33" s="138">
        <f>I32+I28</f>
        <v>6410913.9080000008</v>
      </c>
    </row>
    <row r="35" spans="2:9" x14ac:dyDescent="0.45">
      <c r="B35" s="40" t="s">
        <v>522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3A5F"/>
    <pageSetUpPr fitToPage="1"/>
  </sheetPr>
  <dimension ref="B1:I43"/>
  <sheetViews>
    <sheetView showGridLines="0" zoomScaleNormal="100" workbookViewId="0">
      <pane xSplit="3" ySplit="5" topLeftCell="D33" activePane="bottomRight" state="frozen"/>
      <selection pane="topRight" activeCell="D1" sqref="D1"/>
      <selection pane="bottomLeft" activeCell="A6" sqref="A6"/>
      <selection pane="bottomRight" activeCell="A54" sqref="A54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523</v>
      </c>
    </row>
    <row r="2" spans="2:9" x14ac:dyDescent="0.45">
      <c r="B2" s="36" t="s">
        <v>524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5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30</v>
      </c>
      <c r="C8" s="38" t="s">
        <v>149</v>
      </c>
      <c r="E8" s="136">
        <f>Operations!E12</f>
        <v>9400000</v>
      </c>
      <c r="F8" s="136">
        <f>Operations!F12</f>
        <v>26880000.000000004</v>
      </c>
      <c r="G8" s="136">
        <f>Operations!G12</f>
        <v>42832125</v>
      </c>
      <c r="H8" s="136">
        <f>Operations!H12</f>
        <v>57881250.000000007</v>
      </c>
      <c r="I8" s="136">
        <f>Operations!I12</f>
        <v>49106452.500000007</v>
      </c>
    </row>
    <row r="9" spans="2:9" x14ac:dyDescent="0.45">
      <c r="B9" s="17" t="s">
        <v>32</v>
      </c>
      <c r="C9" s="38" t="s">
        <v>149</v>
      </c>
      <c r="E9" s="136">
        <f>Operations!E15</f>
        <v>2680000</v>
      </c>
      <c r="F9" s="136">
        <f>Operations!F15</f>
        <v>22837500</v>
      </c>
      <c r="G9" s="136">
        <f>Operations!G15</f>
        <v>23979375</v>
      </c>
      <c r="H9" s="136">
        <f>Operations!H15</f>
        <v>25178343.75</v>
      </c>
      <c r="I9" s="136">
        <f>Operations!I15</f>
        <v>26437260.937500004</v>
      </c>
    </row>
    <row r="10" spans="2:9" x14ac:dyDescent="0.45">
      <c r="B10" s="15" t="s">
        <v>291</v>
      </c>
      <c r="C10" s="137" t="s">
        <v>149</v>
      </c>
      <c r="E10" s="138">
        <f>SUM(E8:E9)</f>
        <v>12080000</v>
      </c>
      <c r="F10" s="138">
        <f>SUM(F8:F9)</f>
        <v>49717500</v>
      </c>
      <c r="G10" s="138">
        <f>SUM(G8:G9)</f>
        <v>66811500</v>
      </c>
      <c r="H10" s="138">
        <f>SUM(H8:H9)</f>
        <v>83059593.75</v>
      </c>
      <c r="I10" s="138">
        <f>SUM(I8:I9)</f>
        <v>75543713.437500015</v>
      </c>
    </row>
    <row r="11" spans="2:9" x14ac:dyDescent="0.45">
      <c r="B11" s="29" t="s">
        <v>7</v>
      </c>
      <c r="C11" s="38" t="s">
        <v>138</v>
      </c>
      <c r="F11" s="19">
        <f>IFERROR(F10/E10-1,0)</f>
        <v>3.1156870860927155</v>
      </c>
      <c r="G11" s="19">
        <f>IFERROR(G10/F10-1,0)</f>
        <v>0.34382259767687429</v>
      </c>
      <c r="H11" s="19">
        <f>IFERROR(H10/G10-1,0)</f>
        <v>0.24319306930693063</v>
      </c>
      <c r="I11" s="19">
        <f>IFERROR(I10/H10-1,0)</f>
        <v>-9.0487804878048639E-2</v>
      </c>
    </row>
    <row r="13" spans="2:9" x14ac:dyDescent="0.45">
      <c r="B13" s="134" t="s">
        <v>525</v>
      </c>
      <c r="C13" s="135"/>
      <c r="D13" s="135"/>
      <c r="E13" s="135"/>
      <c r="F13" s="135"/>
      <c r="G13" s="135"/>
      <c r="H13" s="135"/>
      <c r="I13" s="135"/>
    </row>
    <row r="14" spans="2:9" x14ac:dyDescent="0.45">
      <c r="B14" s="17" t="s">
        <v>283</v>
      </c>
      <c r="C14" s="38" t="s">
        <v>149</v>
      </c>
      <c r="E14" s="136">
        <f>-Operations!E30</f>
        <v>-5160084.0084008407</v>
      </c>
      <c r="F14" s="136">
        <f>-Operations!F30</f>
        <v>-15067720.522052206</v>
      </c>
      <c r="G14" s="136">
        <f>-Operations!G30</f>
        <v>-19558720.477047704</v>
      </c>
      <c r="H14" s="136">
        <f>-Operations!H30</f>
        <v>-20536656.500900093</v>
      </c>
      <c r="I14" s="136">
        <f>-Operations!I30</f>
        <v>-21563489.325945098</v>
      </c>
    </row>
    <row r="15" spans="2:9" x14ac:dyDescent="0.45">
      <c r="B15" s="17" t="s">
        <v>526</v>
      </c>
      <c r="C15" s="38" t="s">
        <v>149</v>
      </c>
      <c r="E15" s="136">
        <f>-Operations!E33</f>
        <v>-925000</v>
      </c>
      <c r="F15" s="136">
        <f>-Operations!F33</f>
        <v>-1532500</v>
      </c>
      <c r="G15" s="136">
        <f>-Operations!G33</f>
        <v>-1750000</v>
      </c>
      <c r="H15" s="136">
        <f>-Operations!H33</f>
        <v>-1750000</v>
      </c>
      <c r="I15" s="136">
        <f>-Operations!I33</f>
        <v>-1750000</v>
      </c>
    </row>
    <row r="16" spans="2:9" x14ac:dyDescent="0.45">
      <c r="B16" s="17" t="s">
        <v>527</v>
      </c>
      <c r="C16" s="38" t="s">
        <v>149</v>
      </c>
      <c r="E16" s="136">
        <f>-Operations!E34</f>
        <v>-1600000</v>
      </c>
      <c r="F16" s="136">
        <f>-Operations!F34</f>
        <v>-4000000</v>
      </c>
      <c r="G16" s="136">
        <f>-Operations!G34</f>
        <v>-6400000</v>
      </c>
      <c r="H16" s="136">
        <f>-Operations!H34</f>
        <v>-6400000</v>
      </c>
      <c r="I16" s="136">
        <f>-Operations!I34</f>
        <v>-6400000</v>
      </c>
    </row>
    <row r="17" spans="2:9" x14ac:dyDescent="0.45">
      <c r="B17" s="17" t="s">
        <v>528</v>
      </c>
      <c r="C17" s="38" t="s">
        <v>149</v>
      </c>
      <c r="E17" s="136">
        <f>-Operations!E36</f>
        <v>-996250</v>
      </c>
      <c r="F17" s="136">
        <f>-Operations!F36</f>
        <v>-1962125</v>
      </c>
      <c r="G17" s="136">
        <f>-Operations!G36</f>
        <v>-2067381.25</v>
      </c>
      <c r="H17" s="136">
        <f>-Operations!H36</f>
        <v>-2178615.3125</v>
      </c>
      <c r="I17" s="136">
        <f>-Operations!I36</f>
        <v>-2296197.578125</v>
      </c>
    </row>
    <row r="18" spans="2:9" x14ac:dyDescent="0.45">
      <c r="B18" s="15" t="s">
        <v>529</v>
      </c>
      <c r="C18" s="137" t="s">
        <v>149</v>
      </c>
      <c r="E18" s="138">
        <f>SUM(E14:E17)</f>
        <v>-8681334.0084008407</v>
      </c>
      <c r="F18" s="138">
        <f>SUM(F14:F17)</f>
        <v>-22562345.522052206</v>
      </c>
      <c r="G18" s="138">
        <f>SUM(G14:G17)</f>
        <v>-29776101.727047704</v>
      </c>
      <c r="H18" s="138">
        <f>SUM(H14:H17)</f>
        <v>-30865271.813400093</v>
      </c>
      <c r="I18" s="138">
        <f>SUM(I14:I17)</f>
        <v>-32009686.904070098</v>
      </c>
    </row>
    <row r="19" spans="2:9" x14ac:dyDescent="0.45">
      <c r="B19" s="15" t="s">
        <v>11</v>
      </c>
      <c r="C19" s="137" t="s">
        <v>149</v>
      </c>
      <c r="E19" s="138">
        <f>E10+E18</f>
        <v>3398665.9915991593</v>
      </c>
      <c r="F19" s="138">
        <f>F10+F18</f>
        <v>27155154.477947794</v>
      </c>
      <c r="G19" s="138">
        <f>G10+G18</f>
        <v>37035398.272952296</v>
      </c>
      <c r="H19" s="138">
        <f>H10+H18</f>
        <v>52194321.93659991</v>
      </c>
      <c r="I19" s="138">
        <f>I10+I18</f>
        <v>43534026.533429921</v>
      </c>
    </row>
    <row r="20" spans="2:9" x14ac:dyDescent="0.45">
      <c r="B20" s="29" t="s">
        <v>13</v>
      </c>
      <c r="C20" s="38" t="s">
        <v>138</v>
      </c>
      <c r="E20" s="19">
        <f>IFERROR(E19/E10,0)</f>
        <v>0.28134652248337411</v>
      </c>
      <c r="F20" s="19">
        <f>IFERROR(F19/F10,0)</f>
        <v>0.54618905773515958</v>
      </c>
      <c r="G20" s="19">
        <f>IFERROR(G19/G10,0)</f>
        <v>0.55432669933996837</v>
      </c>
      <c r="H20" s="19">
        <f>IFERROR(H19/H10,0)</f>
        <v>0.62839606576573115</v>
      </c>
      <c r="I20" s="19">
        <f>IFERROR(I19/I10,0)</f>
        <v>0.576275967284123</v>
      </c>
    </row>
    <row r="22" spans="2:9" x14ac:dyDescent="0.45">
      <c r="B22" s="134" t="s">
        <v>15</v>
      </c>
      <c r="C22" s="135"/>
      <c r="D22" s="135"/>
      <c r="E22" s="135"/>
      <c r="F22" s="135"/>
      <c r="G22" s="135"/>
      <c r="H22" s="135"/>
      <c r="I22" s="135"/>
    </row>
    <row r="23" spans="2:9" x14ac:dyDescent="0.45">
      <c r="B23" s="17" t="s">
        <v>530</v>
      </c>
      <c r="C23" s="38" t="s">
        <v>149</v>
      </c>
      <c r="E23" s="136">
        <f>-Operations!E46</f>
        <v>-1166550</v>
      </c>
      <c r="F23" s="136">
        <f>-Operations!F46</f>
        <v>-1855665</v>
      </c>
      <c r="G23" s="136">
        <f>-Operations!G46</f>
        <v>-1957635.75</v>
      </c>
      <c r="H23" s="136">
        <f>-Operations!H46</f>
        <v>-2066148.7875000001</v>
      </c>
      <c r="I23" s="136">
        <f>-Operations!I46</f>
        <v>-2181675.6018749997</v>
      </c>
    </row>
    <row r="24" spans="2:9" x14ac:dyDescent="0.45">
      <c r="B24" s="17" t="s">
        <v>531</v>
      </c>
      <c r="C24" s="38" t="s">
        <v>149</v>
      </c>
      <c r="E24" s="136">
        <f>-Operations!E37</f>
        <v>-188000</v>
      </c>
      <c r="F24" s="136">
        <f>-Operations!F37</f>
        <v>-537600.00000000012</v>
      </c>
      <c r="G24" s="136">
        <f>-Operations!G37</f>
        <v>-856642.5</v>
      </c>
      <c r="H24" s="136">
        <f>-Operations!H37</f>
        <v>-1157625.0000000002</v>
      </c>
      <c r="I24" s="136">
        <f>-Operations!I37</f>
        <v>-982129.05000000016</v>
      </c>
    </row>
    <row r="25" spans="2:9" x14ac:dyDescent="0.45">
      <c r="B25" s="17" t="s">
        <v>532</v>
      </c>
      <c r="C25" s="38" t="s">
        <v>149</v>
      </c>
      <c r="E25" s="136">
        <f>-Operations!E38</f>
        <v>-752000</v>
      </c>
      <c r="F25" s="136">
        <f>-Operations!F38</f>
        <v>-2150400.0000000005</v>
      </c>
      <c r="G25" s="136">
        <f>-Operations!G38</f>
        <v>-3426570</v>
      </c>
      <c r="H25" s="136">
        <f>-Operations!H38</f>
        <v>-4630500.0000000009</v>
      </c>
      <c r="I25" s="136">
        <f>-Operations!I38</f>
        <v>-3928516.2000000007</v>
      </c>
    </row>
    <row r="26" spans="2:9" x14ac:dyDescent="0.45">
      <c r="B26" s="17" t="s">
        <v>533</v>
      </c>
      <c r="C26" s="38" t="s">
        <v>149</v>
      </c>
      <c r="E26" s="136">
        <f>-Operations!E47</f>
        <v>-500000</v>
      </c>
      <c r="F26" s="136">
        <f>-Operations!F47</f>
        <v>-500000</v>
      </c>
      <c r="G26" s="136">
        <f>-Operations!G47</f>
        <v>-500000</v>
      </c>
      <c r="H26" s="136">
        <f>-Operations!H47</f>
        <v>-500000</v>
      </c>
      <c r="I26" s="136">
        <f>-Operations!I47</f>
        <v>-500000</v>
      </c>
    </row>
    <row r="27" spans="2:9" x14ac:dyDescent="0.45">
      <c r="B27" s="15" t="s">
        <v>534</v>
      </c>
      <c r="C27" s="137" t="s">
        <v>149</v>
      </c>
      <c r="E27" s="138">
        <f>SUM(E23:E26)</f>
        <v>-2606550</v>
      </c>
      <c r="F27" s="138">
        <f>SUM(F23:F26)</f>
        <v>-5043665</v>
      </c>
      <c r="G27" s="138">
        <f>SUM(G23:G26)</f>
        <v>-6740848.25</v>
      </c>
      <c r="H27" s="138">
        <f>SUM(H23:H26)</f>
        <v>-8354273.7875000015</v>
      </c>
      <c r="I27" s="138">
        <f>SUM(I23:I26)</f>
        <v>-7592320.8518750006</v>
      </c>
    </row>
    <row r="28" spans="2:9" x14ac:dyDescent="0.45">
      <c r="B28" s="15" t="s">
        <v>17</v>
      </c>
      <c r="C28" s="137" t="s">
        <v>149</v>
      </c>
      <c r="E28" s="138">
        <f>E19+E27</f>
        <v>792115.99159915932</v>
      </c>
      <c r="F28" s="138">
        <f>F19+F27</f>
        <v>22111489.477947794</v>
      </c>
      <c r="G28" s="138">
        <f>G19+G27</f>
        <v>30294550.022952296</v>
      </c>
      <c r="H28" s="138">
        <f>H19+H27</f>
        <v>43840048.149099909</v>
      </c>
      <c r="I28" s="138">
        <f>I19+I27</f>
        <v>35941705.681554921</v>
      </c>
    </row>
    <row r="29" spans="2:9" x14ac:dyDescent="0.45">
      <c r="B29" s="29" t="s">
        <v>18</v>
      </c>
      <c r="C29" s="38" t="s">
        <v>138</v>
      </c>
      <c r="E29" s="19">
        <f>IFERROR(E28/E10,0)</f>
        <v>6.5572515860857564E-2</v>
      </c>
      <c r="F29" s="19">
        <f>IFERROR(F28/F10,0)</f>
        <v>0.44474258516513893</v>
      </c>
      <c r="G29" s="19">
        <f>IFERROR(G28/G10,0)</f>
        <v>0.45343316678943441</v>
      </c>
      <c r="H29" s="19">
        <f>IFERROR(H28/H10,0)</f>
        <v>0.5278143820574599</v>
      </c>
      <c r="I29" s="19">
        <f>IFERROR(I28/I10,0)</f>
        <v>0.47577361564692955</v>
      </c>
    </row>
    <row r="30" spans="2:9" x14ac:dyDescent="0.45">
      <c r="B30" s="17" t="s">
        <v>535</v>
      </c>
      <c r="C30" s="38" t="s">
        <v>149</v>
      </c>
      <c r="E30" s="136">
        <f>-'FA Schedule'!E24</f>
        <v>-3098877.19</v>
      </c>
      <c r="F30" s="136">
        <f>-'FA Schedule'!F24</f>
        <v>-3098877.19</v>
      </c>
      <c r="G30" s="136">
        <f>-'FA Schedule'!G24</f>
        <v>-3298877.19</v>
      </c>
      <c r="H30" s="136">
        <f>-'FA Schedule'!H24</f>
        <v>-3298877.19</v>
      </c>
      <c r="I30" s="136">
        <f>-'FA Schedule'!I24</f>
        <v>-3298877.19</v>
      </c>
    </row>
    <row r="31" spans="2:9" x14ac:dyDescent="0.45">
      <c r="B31" s="15" t="s">
        <v>536</v>
      </c>
      <c r="C31" s="137" t="s">
        <v>149</v>
      </c>
      <c r="E31" s="138">
        <f>E28+E30</f>
        <v>-2306761.1984008406</v>
      </c>
      <c r="F31" s="138">
        <f>F28+F30</f>
        <v>19012612.287947793</v>
      </c>
      <c r="G31" s="138">
        <f>G28+G30</f>
        <v>26995672.832952294</v>
      </c>
      <c r="H31" s="138">
        <f>H28+H30</f>
        <v>40541170.959099911</v>
      </c>
      <c r="I31" s="138">
        <f>I28+I30</f>
        <v>32642828.49155492</v>
      </c>
    </row>
    <row r="32" spans="2:9" x14ac:dyDescent="0.45">
      <c r="B32" s="17" t="s">
        <v>537</v>
      </c>
      <c r="C32" s="38" t="s">
        <v>149</v>
      </c>
      <c r="E32" s="136">
        <f>-Funding!E32</f>
        <v>-2747534.5320000001</v>
      </c>
      <c r="F32" s="136">
        <f>-Funding!F32</f>
        <v>-2747534.5320000001</v>
      </c>
      <c r="G32" s="136">
        <f>-Funding!G32</f>
        <v>-2060650.8990000002</v>
      </c>
      <c r="H32" s="136">
        <f>-Funding!H32</f>
        <v>-1373767.2660000003</v>
      </c>
      <c r="I32" s="136">
        <f>-Funding!I32</f>
        <v>-686883.63300000026</v>
      </c>
    </row>
    <row r="33" spans="2:9" x14ac:dyDescent="0.45">
      <c r="B33" s="15" t="s">
        <v>538</v>
      </c>
      <c r="C33" s="137" t="s">
        <v>149</v>
      </c>
      <c r="E33" s="138">
        <f>E31+E32</f>
        <v>-5054295.7304008408</v>
      </c>
      <c r="F33" s="138">
        <f>F31+F32</f>
        <v>16265077.755947793</v>
      </c>
      <c r="G33" s="138">
        <f>G31+G32</f>
        <v>24935021.933952294</v>
      </c>
      <c r="H33" s="138">
        <f>H31+H32</f>
        <v>39167403.693099909</v>
      </c>
      <c r="I33" s="138">
        <f>I31+I32</f>
        <v>31955944.858554918</v>
      </c>
    </row>
    <row r="34" spans="2:9" x14ac:dyDescent="0.45">
      <c r="B34" s="17" t="s">
        <v>59</v>
      </c>
      <c r="C34" s="38" t="s">
        <v>149</v>
      </c>
      <c r="E34" s="139">
        <f>-E43*Assumptions!$D$39</f>
        <v>0</v>
      </c>
      <c r="F34" s="139">
        <f>-F43*Assumptions!$D$39</f>
        <v>-3082965.0570254126</v>
      </c>
      <c r="G34" s="139">
        <f>-G43*Assumptions!$D$39</f>
        <v>-6857131.0318368813</v>
      </c>
      <c r="H34" s="139">
        <f>-H43*Assumptions!$D$39</f>
        <v>-10771036.015602475</v>
      </c>
      <c r="I34" s="139">
        <f>-I43*Assumptions!$D$39</f>
        <v>-8787884.836102603</v>
      </c>
    </row>
    <row r="35" spans="2:9" x14ac:dyDescent="0.45">
      <c r="B35" s="15" t="s">
        <v>22</v>
      </c>
      <c r="C35" s="137" t="s">
        <v>149</v>
      </c>
      <c r="E35" s="138">
        <f>E33+E34</f>
        <v>-5054295.7304008408</v>
      </c>
      <c r="F35" s="138">
        <f>F33+F34</f>
        <v>13182112.698922381</v>
      </c>
      <c r="G35" s="138">
        <f>G33+G34</f>
        <v>18077890.902115412</v>
      </c>
      <c r="H35" s="138">
        <f>H33+H34</f>
        <v>28396367.677497432</v>
      </c>
      <c r="I35" s="138">
        <f>I33+I34</f>
        <v>23168060.022452317</v>
      </c>
    </row>
    <row r="36" spans="2:9" x14ac:dyDescent="0.45">
      <c r="B36" s="29" t="s">
        <v>539</v>
      </c>
      <c r="C36" s="38" t="s">
        <v>138</v>
      </c>
      <c r="E36" s="19">
        <f>IFERROR(E35/E10,0)</f>
        <v>-0.41840196443715572</v>
      </c>
      <c r="F36" s="19">
        <f>IFERROR(F35/F10,0)</f>
        <v>0.2651402966545458</v>
      </c>
      <c r="G36" s="19">
        <f>IFERROR(G35/G10,0)</f>
        <v>0.2705805273360935</v>
      </c>
      <c r="H36" s="19">
        <f>IFERROR(H35/H10,0)</f>
        <v>0.34187944336649773</v>
      </c>
      <c r="I36" s="19">
        <f>IFERROR(I35/I10,0)</f>
        <v>0.3066841563410842</v>
      </c>
    </row>
    <row r="38" spans="2:9" x14ac:dyDescent="0.45">
      <c r="B38" s="134" t="s">
        <v>540</v>
      </c>
      <c r="C38" s="135"/>
      <c r="D38" s="135"/>
      <c r="E38" s="135"/>
      <c r="F38" s="135"/>
      <c r="G38" s="135"/>
      <c r="H38" s="135"/>
      <c r="I38" s="135"/>
    </row>
    <row r="39" spans="2:9" x14ac:dyDescent="0.45">
      <c r="B39" s="17" t="s">
        <v>541</v>
      </c>
      <c r="C39" s="38" t="s">
        <v>149</v>
      </c>
      <c r="E39" s="139">
        <v>0</v>
      </c>
      <c r="F39" s="139">
        <f>E42</f>
        <v>5054295.7304008408</v>
      </c>
      <c r="G39" s="139">
        <f>F42</f>
        <v>0</v>
      </c>
      <c r="H39" s="139">
        <f>G42</f>
        <v>0</v>
      </c>
      <c r="I39" s="139">
        <f>H42</f>
        <v>0</v>
      </c>
    </row>
    <row r="40" spans="2:9" x14ac:dyDescent="0.45">
      <c r="B40" s="17" t="s">
        <v>542</v>
      </c>
      <c r="C40" s="38" t="s">
        <v>149</v>
      </c>
      <c r="E40" s="139">
        <f>MIN(E39,MAX(E33,0))</f>
        <v>0</v>
      </c>
      <c r="F40" s="139">
        <f>MIN(F39,MAX(F33,0))</f>
        <v>5054295.7304008408</v>
      </c>
      <c r="G40" s="139">
        <f>MIN(G39,MAX(G33,0))</f>
        <v>0</v>
      </c>
      <c r="H40" s="139">
        <f>MIN(H39,MAX(H33,0))</f>
        <v>0</v>
      </c>
      <c r="I40" s="139">
        <f>MIN(I39,MAX(I33,0))</f>
        <v>0</v>
      </c>
    </row>
    <row r="41" spans="2:9" x14ac:dyDescent="0.45">
      <c r="B41" s="17" t="s">
        <v>543</v>
      </c>
      <c r="C41" s="38" t="s">
        <v>149</v>
      </c>
      <c r="E41" s="139">
        <f>MAX(-E33,0)</f>
        <v>5054295.7304008408</v>
      </c>
      <c r="F41" s="139">
        <f>MAX(-F33,0)</f>
        <v>0</v>
      </c>
      <c r="G41" s="139">
        <f>MAX(-G33,0)</f>
        <v>0</v>
      </c>
      <c r="H41" s="139">
        <f>MAX(-H33,0)</f>
        <v>0</v>
      </c>
      <c r="I41" s="139">
        <f>MAX(-I33,0)</f>
        <v>0</v>
      </c>
    </row>
    <row r="42" spans="2:9" x14ac:dyDescent="0.45">
      <c r="B42" s="15" t="s">
        <v>544</v>
      </c>
      <c r="C42" s="137" t="s">
        <v>149</v>
      </c>
      <c r="E42" s="138">
        <f>E39-E40+E41</f>
        <v>5054295.7304008408</v>
      </c>
      <c r="F42" s="138">
        <f>F39-F40+F41</f>
        <v>0</v>
      </c>
      <c r="G42" s="138">
        <f>G39-G40+G41</f>
        <v>0</v>
      </c>
      <c r="H42" s="138">
        <f>H39-H40+H41</f>
        <v>0</v>
      </c>
      <c r="I42" s="138">
        <f>I39-I40+I41</f>
        <v>0</v>
      </c>
    </row>
    <row r="43" spans="2:9" x14ac:dyDescent="0.45">
      <c r="B43" s="17" t="s">
        <v>545</v>
      </c>
      <c r="C43" s="38" t="s">
        <v>149</v>
      </c>
      <c r="E43" s="139">
        <f>MAX(E33,0)-E40</f>
        <v>0</v>
      </c>
      <c r="F43" s="139">
        <f>MAX(F33,0)-F40</f>
        <v>11210782.025546953</v>
      </c>
      <c r="G43" s="139">
        <f>MAX(G33,0)-G40</f>
        <v>24935021.933952294</v>
      </c>
      <c r="H43" s="139">
        <f>MAX(H33,0)-H40</f>
        <v>39167403.693099909</v>
      </c>
      <c r="I43" s="139">
        <f>MAX(I33,0)-I40</f>
        <v>31955944.858554918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5597"/>
    <pageSetUpPr fitToPage="1"/>
  </sheetPr>
  <dimension ref="B1:I60"/>
  <sheetViews>
    <sheetView showGridLines="0" zoomScaleNormal="100" workbookViewId="0">
      <pane xSplit="3" ySplit="5" topLeftCell="D30" activePane="bottomRight" state="frozen"/>
      <selection pane="topRight" activeCell="D1" sqref="D1"/>
      <selection pane="bottomLeft" activeCell="A6" sqref="A6"/>
      <selection pane="bottomRight" activeCell="I30" sqref="I30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546</v>
      </c>
    </row>
    <row r="2" spans="2:9" x14ac:dyDescent="0.45">
      <c r="B2" s="36" t="s">
        <v>547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548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22</v>
      </c>
      <c r="C8" s="38" t="s">
        <v>149</v>
      </c>
      <c r="E8" s="136">
        <f>'Income Statement'!E35</f>
        <v>-5054295.7304008408</v>
      </c>
      <c r="F8" s="136">
        <f>'Income Statement'!F35</f>
        <v>13182112.698922381</v>
      </c>
      <c r="G8" s="136">
        <f>'Income Statement'!G35</f>
        <v>18077890.902115412</v>
      </c>
      <c r="H8" s="136">
        <f>'Income Statement'!H35</f>
        <v>28396367.677497432</v>
      </c>
      <c r="I8" s="136">
        <f>'Income Statement'!I35</f>
        <v>23168060.022452317</v>
      </c>
    </row>
    <row r="9" spans="2:9" x14ac:dyDescent="0.45">
      <c r="B9" s="17" t="s">
        <v>549</v>
      </c>
      <c r="C9" s="38" t="s">
        <v>149</v>
      </c>
      <c r="E9" s="136">
        <f>-'Income Statement'!E30</f>
        <v>3098877.19</v>
      </c>
      <c r="F9" s="136">
        <f>-'Income Statement'!F30</f>
        <v>3098877.19</v>
      </c>
      <c r="G9" s="136">
        <f>-'Income Statement'!G30</f>
        <v>3298877.19</v>
      </c>
      <c r="H9" s="136">
        <f>-'Income Statement'!H30</f>
        <v>3298877.19</v>
      </c>
      <c r="I9" s="136">
        <f>-'Income Statement'!I30</f>
        <v>3298877.19</v>
      </c>
    </row>
    <row r="10" spans="2:9" x14ac:dyDescent="0.45">
      <c r="B10" s="17" t="s">
        <v>550</v>
      </c>
      <c r="C10" s="38" t="s">
        <v>149</v>
      </c>
      <c r="E10" s="136">
        <f>-('Working Capital'!E12-'Working Capital'!D12)</f>
        <v>-992876.71232876717</v>
      </c>
      <c r="F10" s="136">
        <f>-('Working Capital'!F12-'Working Capital'!E12)</f>
        <v>-3093493.1506849313</v>
      </c>
      <c r="G10" s="136">
        <f>-('Working Capital'!G12-'Working Capital'!F12)</f>
        <v>-1404986.3013698626</v>
      </c>
      <c r="H10" s="136">
        <f>-('Working Capital'!H12-'Working Capital'!G12)</f>
        <v>-1335459.7602739725</v>
      </c>
      <c r="I10" s="136">
        <f>-('Working Capital'!I12-'Working Capital'!H12)</f>
        <v>617743.58732876554</v>
      </c>
    </row>
    <row r="11" spans="2:9" x14ac:dyDescent="0.45">
      <c r="B11" s="17" t="s">
        <v>551</v>
      </c>
      <c r="C11" s="38" t="s">
        <v>149</v>
      </c>
      <c r="E11" s="136">
        <f>-('Working Capital'!E13-'Working Capital'!D13)</f>
        <v>-2140602.906181029</v>
      </c>
      <c r="F11" s="136">
        <f>-('Working Capital'!F13-'Working Capital'!E13)</f>
        <v>-3422715.1677496517</v>
      </c>
      <c r="G11" s="136">
        <f>-('Working Capital'!G13-'Working Capital'!F13)</f>
        <v>-1778734.4067112189</v>
      </c>
      <c r="H11" s="136">
        <f>-('Working Capital'!H13-'Working Capital'!G13)</f>
        <v>-268562.48704579473</v>
      </c>
      <c r="I11" s="136">
        <f>-('Working Capital'!I13-'Working Capital'!H13)</f>
        <v>-282184.54290493205</v>
      </c>
    </row>
    <row r="12" spans="2:9" x14ac:dyDescent="0.45">
      <c r="B12" s="17" t="s">
        <v>552</v>
      </c>
      <c r="C12" s="38" t="s">
        <v>149</v>
      </c>
      <c r="E12" s="136">
        <f>'Working Capital'!E14-'Working Capital'!D14</f>
        <v>713534.30206034309</v>
      </c>
      <c r="F12" s="136">
        <f>'Working Capital'!F14-'Working Capital'!E14</f>
        <v>1140905.0559165503</v>
      </c>
      <c r="G12" s="136">
        <f>'Working Capital'!G14-'Working Capital'!F14</f>
        <v>592911.46890373994</v>
      </c>
      <c r="H12" s="136">
        <f>'Working Capital'!H14-'Working Capital'!G14</f>
        <v>89520.829015264753</v>
      </c>
      <c r="I12" s="136">
        <f>'Working Capital'!I14-'Working Capital'!H14</f>
        <v>94061.514301644173</v>
      </c>
    </row>
    <row r="13" spans="2:9" x14ac:dyDescent="0.45">
      <c r="B13" s="15" t="s">
        <v>40</v>
      </c>
      <c r="C13" s="137" t="s">
        <v>149</v>
      </c>
      <c r="E13" s="138">
        <f>SUM(E8:E12)</f>
        <v>-4375363.8568502935</v>
      </c>
      <c r="F13" s="138">
        <f>SUM(F8:F12)</f>
        <v>10905686.626404347</v>
      </c>
      <c r="G13" s="138">
        <f>SUM(G8:G12)</f>
        <v>18785958.852938067</v>
      </c>
      <c r="H13" s="138">
        <f>SUM(H8:H12)</f>
        <v>30180743.44919293</v>
      </c>
      <c r="I13" s="138">
        <f>SUM(I8:I12)</f>
        <v>26896557.771177795</v>
      </c>
    </row>
    <row r="15" spans="2:9" x14ac:dyDescent="0.45">
      <c r="B15" s="134" t="s">
        <v>553</v>
      </c>
      <c r="C15" s="135"/>
      <c r="D15" s="135"/>
      <c r="E15" s="135"/>
      <c r="F15" s="135"/>
      <c r="G15" s="135"/>
      <c r="H15" s="135"/>
      <c r="I15" s="135"/>
    </row>
    <row r="16" spans="2:9" x14ac:dyDescent="0.45">
      <c r="B16" s="17" t="s">
        <v>372</v>
      </c>
      <c r="C16" s="38" t="s">
        <v>149</v>
      </c>
      <c r="D16" s="136">
        <f>-'FA Schedule'!D15</f>
        <v>-45792242.200000003</v>
      </c>
      <c r="E16" s="136">
        <f>-'FA Schedule'!E15</f>
        <v>0</v>
      </c>
      <c r="F16" s="136">
        <f>-'FA Schedule'!F15</f>
        <v>-5003000</v>
      </c>
      <c r="G16" s="136">
        <f>-'FA Schedule'!G15</f>
        <v>0</v>
      </c>
      <c r="H16" s="136">
        <f>-'FA Schedule'!H15</f>
        <v>0</v>
      </c>
      <c r="I16" s="136">
        <f>-'FA Schedule'!I15</f>
        <v>0</v>
      </c>
    </row>
    <row r="17" spans="2:9" x14ac:dyDescent="0.45">
      <c r="B17" s="15" t="s">
        <v>42</v>
      </c>
      <c r="C17" s="137" t="s">
        <v>149</v>
      </c>
      <c r="D17" s="138">
        <f t="shared" ref="D17:I17" si="0">D16</f>
        <v>-45792242.200000003</v>
      </c>
      <c r="E17" s="138">
        <f t="shared" si="0"/>
        <v>0</v>
      </c>
      <c r="F17" s="138">
        <f t="shared" si="0"/>
        <v>-5003000</v>
      </c>
      <c r="G17" s="138">
        <f t="shared" si="0"/>
        <v>0</v>
      </c>
      <c r="H17" s="138">
        <f t="shared" si="0"/>
        <v>0</v>
      </c>
      <c r="I17" s="138">
        <f t="shared" si="0"/>
        <v>0</v>
      </c>
    </row>
    <row r="19" spans="2:9" x14ac:dyDescent="0.45">
      <c r="B19" s="134" t="s">
        <v>554</v>
      </c>
      <c r="C19" s="135"/>
      <c r="D19" s="135"/>
      <c r="E19" s="135"/>
      <c r="F19" s="135"/>
      <c r="G19" s="135"/>
      <c r="H19" s="135"/>
      <c r="I19" s="135"/>
    </row>
    <row r="20" spans="2:9" x14ac:dyDescent="0.45">
      <c r="B20" s="17" t="s">
        <v>555</v>
      </c>
      <c r="C20" s="38" t="s">
        <v>149</v>
      </c>
      <c r="D20" s="136">
        <f>Funding!D27</f>
        <v>22896121.100000001</v>
      </c>
      <c r="E20" s="136">
        <v>0</v>
      </c>
      <c r="F20" s="136">
        <v>0</v>
      </c>
      <c r="G20" s="136">
        <v>0</v>
      </c>
      <c r="H20" s="136">
        <v>0</v>
      </c>
      <c r="I20" s="136">
        <v>0</v>
      </c>
    </row>
    <row r="21" spans="2:9" x14ac:dyDescent="0.45">
      <c r="B21" s="17" t="s">
        <v>556</v>
      </c>
      <c r="C21" s="38" t="s">
        <v>149</v>
      </c>
      <c r="E21" s="136">
        <f>-Funding!E28</f>
        <v>0</v>
      </c>
      <c r="F21" s="136">
        <f>-Funding!F28</f>
        <v>-5724030.2750000004</v>
      </c>
      <c r="G21" s="136">
        <f>-Funding!G28</f>
        <v>-5724030.2750000004</v>
      </c>
      <c r="H21" s="136">
        <f>-Funding!H28</f>
        <v>-5724030.2750000004</v>
      </c>
      <c r="I21" s="136">
        <f>-Funding!I28</f>
        <v>-5724030.2750000004</v>
      </c>
    </row>
    <row r="22" spans="2:9" x14ac:dyDescent="0.45">
      <c r="B22" s="17" t="s">
        <v>557</v>
      </c>
      <c r="C22" s="38" t="s">
        <v>149</v>
      </c>
      <c r="D22" s="139">
        <f>Funding!D17</f>
        <v>25316066.416449457</v>
      </c>
      <c r="E22" s="139">
        <f>MAX(0,Assumptions!$D$44-E25)</f>
        <v>2455418.5404008375</v>
      </c>
      <c r="F22" s="139">
        <f>MAX(0,Assumptions!$D$44-F25)</f>
        <v>0</v>
      </c>
      <c r="G22" s="139">
        <f>MAX(0,Assumptions!$D$44-G25)</f>
        <v>0</v>
      </c>
      <c r="H22" s="139">
        <f>MAX(0,Assumptions!$D$44-H25)</f>
        <v>0</v>
      </c>
      <c r="I22" s="139">
        <f>MAX(0,Assumptions!$D$44-I25)</f>
        <v>0</v>
      </c>
    </row>
    <row r="23" spans="2:9" x14ac:dyDescent="0.45">
      <c r="B23" s="17" t="s">
        <v>558</v>
      </c>
      <c r="C23" s="38" t="s">
        <v>149</v>
      </c>
      <c r="E23" s="139">
        <f>-MAX(0,MIN(Assumptions!$D$45*MAX(E8,0)*IF(D34+E8&gt;0,1,0),E25+E22-Assumptions!$D$44))</f>
        <v>0</v>
      </c>
      <c r="F23" s="139">
        <f>-MAX(0,MIN(Assumptions!$D$45*MAX(F8,0)*IF(E34+F8&gt;0,1,0),F25+F22-Assumptions!$D$44))</f>
        <v>-178656.35140434653</v>
      </c>
      <c r="G23" s="139">
        <f>-MAX(0,MIN(Assumptions!$D$45*MAX(G8,0)*IF(F34+G8&gt;0,1,0),G25+G22-Assumptions!$D$44))</f>
        <v>-10846734.541269246</v>
      </c>
      <c r="H23" s="139">
        <f>-MAX(0,MIN(Assumptions!$D$45*MAX(H8,0)*IF(G34+H8&gt;0,1,0),H25+H22-Assumptions!$D$44))</f>
        <v>-17037820.606498457</v>
      </c>
      <c r="I23" s="139">
        <f>-MAX(0,MIN(Assumptions!$D$45*MAX(I8,0)*IF(H34+I8&gt;0,1,0),I25+I22-Assumptions!$D$44))</f>
        <v>-13900836.013471389</v>
      </c>
    </row>
    <row r="24" spans="2:9" x14ac:dyDescent="0.45">
      <c r="B24" s="15" t="s">
        <v>43</v>
      </c>
      <c r="C24" s="137" t="s">
        <v>149</v>
      </c>
      <c r="D24" s="138">
        <f t="shared" ref="D24:I24" si="1">SUM(D20:D23)</f>
        <v>48212187.516449459</v>
      </c>
      <c r="E24" s="138">
        <f t="shared" si="1"/>
        <v>2455418.5404008375</v>
      </c>
      <c r="F24" s="138">
        <f t="shared" si="1"/>
        <v>-5902686.6264043469</v>
      </c>
      <c r="G24" s="138">
        <f t="shared" si="1"/>
        <v>-16570764.816269247</v>
      </c>
      <c r="H24" s="138">
        <f t="shared" si="1"/>
        <v>-22761850.881498456</v>
      </c>
      <c r="I24" s="138">
        <f t="shared" si="1"/>
        <v>-19624866.28847139</v>
      </c>
    </row>
    <row r="25" spans="2:9" x14ac:dyDescent="0.45">
      <c r="B25" s="32" t="s">
        <v>559</v>
      </c>
      <c r="C25" s="38" t="s">
        <v>149</v>
      </c>
      <c r="E25" s="139">
        <f>D30+E13+E17+E20+E21</f>
        <v>-1955418.5404008375</v>
      </c>
      <c r="F25" s="139">
        <f>E30+F13+F17+F20+F21</f>
        <v>678656.35140434653</v>
      </c>
      <c r="G25" s="139">
        <f>F30+G13+G17+G20+G21</f>
        <v>13561928.577938067</v>
      </c>
      <c r="H25" s="139">
        <f>G30+H13+H17+H20+H21</f>
        <v>27171907.21086175</v>
      </c>
      <c r="I25" s="139">
        <f>H30+I13+I17+I20+I21</f>
        <v>31306614.100541092</v>
      </c>
    </row>
    <row r="27" spans="2:9" x14ac:dyDescent="0.45">
      <c r="B27" s="134" t="s">
        <v>560</v>
      </c>
      <c r="C27" s="135"/>
      <c r="D27" s="135"/>
      <c r="E27" s="135"/>
      <c r="F27" s="135"/>
      <c r="G27" s="135"/>
      <c r="H27" s="135"/>
      <c r="I27" s="135"/>
    </row>
    <row r="28" spans="2:9" x14ac:dyDescent="0.45">
      <c r="B28" s="17" t="s">
        <v>45</v>
      </c>
      <c r="C28" s="38" t="s">
        <v>149</v>
      </c>
      <c r="D28" s="139">
        <f t="shared" ref="D28:I28" si="2">D13+D17+D24</f>
        <v>2419945.3164494559</v>
      </c>
      <c r="E28" s="139">
        <f t="shared" si="2"/>
        <v>-1919945.3164494559</v>
      </c>
      <c r="F28" s="139">
        <f t="shared" si="2"/>
        <v>0</v>
      </c>
      <c r="G28" s="139">
        <f t="shared" si="2"/>
        <v>2215194.0366688203</v>
      </c>
      <c r="H28" s="139">
        <f t="shared" si="2"/>
        <v>7418892.567694474</v>
      </c>
      <c r="I28" s="139">
        <f t="shared" si="2"/>
        <v>7271691.4827064052</v>
      </c>
    </row>
    <row r="29" spans="2:9" x14ac:dyDescent="0.45">
      <c r="B29" s="17" t="s">
        <v>561</v>
      </c>
      <c r="C29" s="38" t="s">
        <v>149</v>
      </c>
      <c r="D29" s="139">
        <v>0</v>
      </c>
      <c r="E29" s="139">
        <f>D30</f>
        <v>2419945.3164494559</v>
      </c>
      <c r="F29" s="139">
        <f>E30</f>
        <v>500000</v>
      </c>
      <c r="G29" s="139">
        <f>F30</f>
        <v>500000</v>
      </c>
      <c r="H29" s="139">
        <f>G30</f>
        <v>2715194.0366688203</v>
      </c>
      <c r="I29" s="139">
        <f>H30</f>
        <v>10134086.604363294</v>
      </c>
    </row>
    <row r="30" spans="2:9" x14ac:dyDescent="0.45">
      <c r="B30" s="15" t="s">
        <v>47</v>
      </c>
      <c r="C30" s="137" t="s">
        <v>149</v>
      </c>
      <c r="D30" s="138">
        <f t="shared" ref="D30:I30" si="3">D28+D29</f>
        <v>2419945.3164494559</v>
      </c>
      <c r="E30" s="138">
        <f t="shared" si="3"/>
        <v>500000</v>
      </c>
      <c r="F30" s="138">
        <f t="shared" si="3"/>
        <v>500000</v>
      </c>
      <c r="G30" s="138">
        <f t="shared" si="3"/>
        <v>2715194.0366688203</v>
      </c>
      <c r="H30" s="138">
        <f t="shared" si="3"/>
        <v>10134086.604363294</v>
      </c>
      <c r="I30" s="138">
        <f t="shared" si="3"/>
        <v>17405778.087069698</v>
      </c>
    </row>
    <row r="32" spans="2:9" x14ac:dyDescent="0.45">
      <c r="B32" s="134" t="s">
        <v>562</v>
      </c>
      <c r="C32" s="135"/>
      <c r="D32" s="135"/>
      <c r="E32" s="135"/>
      <c r="F32" s="135"/>
      <c r="G32" s="135"/>
      <c r="H32" s="135"/>
      <c r="I32" s="135"/>
    </row>
    <row r="33" spans="2:9" x14ac:dyDescent="0.45">
      <c r="B33" s="17" t="s">
        <v>563</v>
      </c>
      <c r="C33" s="38" t="s">
        <v>149</v>
      </c>
      <c r="D33" s="139">
        <f>D22</f>
        <v>25316066.416449457</v>
      </c>
      <c r="E33" s="139">
        <f>D33+E22</f>
        <v>27771484.956850294</v>
      </c>
      <c r="F33" s="139">
        <f>E33+F22</f>
        <v>27771484.956850294</v>
      </c>
      <c r="G33" s="139">
        <f>F33+G22</f>
        <v>27771484.956850294</v>
      </c>
      <c r="H33" s="139">
        <f>G33+H22</f>
        <v>27771484.956850294</v>
      </c>
      <c r="I33" s="139">
        <f>H33+I22</f>
        <v>27771484.956850294</v>
      </c>
    </row>
    <row r="34" spans="2:9" x14ac:dyDescent="0.45">
      <c r="B34" s="17" t="s">
        <v>564</v>
      </c>
      <c r="C34" s="38" t="s">
        <v>149</v>
      </c>
      <c r="D34" s="139">
        <v>0</v>
      </c>
      <c r="E34" s="139">
        <f>D34+E8+E23</f>
        <v>-5054295.7304008408</v>
      </c>
      <c r="F34" s="139">
        <f>E34+F8+F23</f>
        <v>7949160.6171171935</v>
      </c>
      <c r="G34" s="139">
        <f>F34+G8+G23</f>
        <v>15180316.977963358</v>
      </c>
      <c r="H34" s="139">
        <f>G34+H8+H23</f>
        <v>26538864.048962332</v>
      </c>
      <c r="I34" s="139">
        <f>H34+I8+I23</f>
        <v>35806088.057943262</v>
      </c>
    </row>
    <row r="36" spans="2:9" x14ac:dyDescent="0.45">
      <c r="B36" s="134" t="s">
        <v>565</v>
      </c>
      <c r="C36" s="135"/>
      <c r="D36" s="135"/>
      <c r="E36" s="135"/>
      <c r="F36" s="135"/>
      <c r="G36" s="135"/>
      <c r="H36" s="135"/>
      <c r="I36" s="135"/>
    </row>
    <row r="37" spans="2:9" x14ac:dyDescent="0.45">
      <c r="B37" s="17" t="s">
        <v>17</v>
      </c>
      <c r="C37" s="38" t="s">
        <v>149</v>
      </c>
      <c r="E37" s="136">
        <f>'Income Statement'!E28</f>
        <v>792115.99159915932</v>
      </c>
      <c r="F37" s="136">
        <f>'Income Statement'!F28</f>
        <v>22111489.477947794</v>
      </c>
      <c r="G37" s="136">
        <f>'Income Statement'!G28</f>
        <v>30294550.022952296</v>
      </c>
      <c r="H37" s="136">
        <f>'Income Statement'!H28</f>
        <v>43840048.149099909</v>
      </c>
      <c r="I37" s="136">
        <f>'Income Statement'!I28</f>
        <v>35941705.681554921</v>
      </c>
    </row>
    <row r="38" spans="2:9" x14ac:dyDescent="0.45">
      <c r="B38" s="17" t="s">
        <v>537</v>
      </c>
      <c r="C38" s="38" t="s">
        <v>149</v>
      </c>
      <c r="E38" s="136">
        <f>'Income Statement'!E32</f>
        <v>-2747534.5320000001</v>
      </c>
      <c r="F38" s="136">
        <f>'Income Statement'!F32</f>
        <v>-2747534.5320000001</v>
      </c>
      <c r="G38" s="136">
        <f>'Income Statement'!G32</f>
        <v>-2060650.8990000002</v>
      </c>
      <c r="H38" s="136">
        <f>'Income Statement'!H32</f>
        <v>-1373767.2660000003</v>
      </c>
      <c r="I38" s="136">
        <f>'Income Statement'!I32</f>
        <v>-686883.63300000026</v>
      </c>
    </row>
    <row r="39" spans="2:9" x14ac:dyDescent="0.45">
      <c r="B39" s="17" t="s">
        <v>59</v>
      </c>
      <c r="C39" s="38" t="s">
        <v>149</v>
      </c>
      <c r="E39" s="136">
        <f>'Income Statement'!E34</f>
        <v>0</v>
      </c>
      <c r="F39" s="136">
        <f>'Income Statement'!F34</f>
        <v>-3082965.0570254126</v>
      </c>
      <c r="G39" s="136">
        <f>'Income Statement'!G34</f>
        <v>-6857131.0318368813</v>
      </c>
      <c r="H39" s="136">
        <f>'Income Statement'!H34</f>
        <v>-10771036.015602475</v>
      </c>
      <c r="I39" s="136">
        <f>'Income Statement'!I34</f>
        <v>-8787884.836102603</v>
      </c>
    </row>
    <row r="40" spans="2:9" x14ac:dyDescent="0.45">
      <c r="B40" s="17" t="s">
        <v>60</v>
      </c>
      <c r="C40" s="38" t="s">
        <v>149</v>
      </c>
      <c r="E40" s="139">
        <f>SUM(E41:E43)</f>
        <v>-2419945.3164494531</v>
      </c>
      <c r="F40" s="139">
        <f>SUM(F41:F43)</f>
        <v>-5375303.2625180325</v>
      </c>
      <c r="G40" s="139">
        <f>SUM(G41:G43)</f>
        <v>-2590809.2391773416</v>
      </c>
      <c r="H40" s="139">
        <f>SUM(H41:H43)</f>
        <v>-1514501.4183045025</v>
      </c>
      <c r="I40" s="139">
        <f>SUM(I41:I43)</f>
        <v>429620.55872547766</v>
      </c>
    </row>
    <row r="41" spans="2:9" x14ac:dyDescent="0.45">
      <c r="B41" s="32" t="s">
        <v>61</v>
      </c>
      <c r="C41" s="38" t="s">
        <v>149</v>
      </c>
      <c r="E41" s="139">
        <f>E11</f>
        <v>-2140602.906181029</v>
      </c>
      <c r="F41" s="139">
        <f>F11</f>
        <v>-3422715.1677496517</v>
      </c>
      <c r="G41" s="139">
        <f>G11</f>
        <v>-1778734.4067112189</v>
      </c>
      <c r="H41" s="139">
        <f>H11</f>
        <v>-268562.48704579473</v>
      </c>
      <c r="I41" s="139">
        <f>I11</f>
        <v>-282184.54290493205</v>
      </c>
    </row>
    <row r="42" spans="2:9" x14ac:dyDescent="0.45">
      <c r="B42" s="32" t="s">
        <v>62</v>
      </c>
      <c r="C42" s="38" t="s">
        <v>149</v>
      </c>
      <c r="E42" s="139">
        <f>E10</f>
        <v>-992876.71232876717</v>
      </c>
      <c r="F42" s="139">
        <f>F10</f>
        <v>-3093493.1506849313</v>
      </c>
      <c r="G42" s="139">
        <f>G10</f>
        <v>-1404986.3013698626</v>
      </c>
      <c r="H42" s="139">
        <f>H10</f>
        <v>-1335459.7602739725</v>
      </c>
      <c r="I42" s="139">
        <f>I10</f>
        <v>617743.58732876554</v>
      </c>
    </row>
    <row r="43" spans="2:9" x14ac:dyDescent="0.45">
      <c r="B43" s="32" t="s">
        <v>63</v>
      </c>
      <c r="C43" s="38" t="s">
        <v>149</v>
      </c>
      <c r="E43" s="139">
        <f>E12</f>
        <v>713534.30206034309</v>
      </c>
      <c r="F43" s="139">
        <f>F12</f>
        <v>1140905.0559165503</v>
      </c>
      <c r="G43" s="139">
        <f>G12</f>
        <v>592911.46890373994</v>
      </c>
      <c r="H43" s="139">
        <f>H12</f>
        <v>89520.829015264753</v>
      </c>
      <c r="I43" s="139">
        <f>I12</f>
        <v>94061.514301644173</v>
      </c>
    </row>
    <row r="44" spans="2:9" x14ac:dyDescent="0.45">
      <c r="B44" s="17" t="s">
        <v>372</v>
      </c>
      <c r="C44" s="38" t="s">
        <v>149</v>
      </c>
      <c r="E44" s="139">
        <f>E16</f>
        <v>0</v>
      </c>
      <c r="F44" s="139">
        <f>F16</f>
        <v>-5003000</v>
      </c>
      <c r="G44" s="139">
        <f>G16</f>
        <v>0</v>
      </c>
      <c r="H44" s="139">
        <f>H16</f>
        <v>0</v>
      </c>
      <c r="I44" s="139">
        <f>I16</f>
        <v>0</v>
      </c>
    </row>
    <row r="45" spans="2:9" x14ac:dyDescent="0.45">
      <c r="B45" s="15" t="s">
        <v>566</v>
      </c>
      <c r="C45" s="137" t="s">
        <v>149</v>
      </c>
      <c r="E45" s="138">
        <f>E37+E38+E39+E40+E44</f>
        <v>-4375363.8568502944</v>
      </c>
      <c r="F45" s="138">
        <f>F37+F38+F39+F40+F44</f>
        <v>5902686.6264043488</v>
      </c>
      <c r="G45" s="138">
        <f>G37+G38+G39+G40+G44</f>
        <v>18785958.852938071</v>
      </c>
      <c r="H45" s="138">
        <f>H37+H38+H39+H40+H44</f>
        <v>30180743.449192926</v>
      </c>
      <c r="I45" s="138">
        <f>I37+I38+I39+I40+I44</f>
        <v>26896557.771177791</v>
      </c>
    </row>
    <row r="46" spans="2:9" x14ac:dyDescent="0.45">
      <c r="B46" s="17" t="s">
        <v>567</v>
      </c>
      <c r="C46" s="38" t="s">
        <v>149</v>
      </c>
      <c r="E46" s="139">
        <f>E13+E17</f>
        <v>-4375363.8568502935</v>
      </c>
      <c r="F46" s="139">
        <f>F13+F17</f>
        <v>5902686.6264043469</v>
      </c>
      <c r="G46" s="139">
        <f>G13+G17</f>
        <v>18785958.852938067</v>
      </c>
      <c r="H46" s="139">
        <f>H13+H17</f>
        <v>30180743.44919293</v>
      </c>
      <c r="I46" s="139">
        <f>I13+I17</f>
        <v>26896557.771177795</v>
      </c>
    </row>
    <row r="47" spans="2:9" x14ac:dyDescent="0.45">
      <c r="B47" s="17" t="s">
        <v>568</v>
      </c>
      <c r="C47" s="38" t="s">
        <v>149</v>
      </c>
      <c r="E47" s="139">
        <f>E45-E46</f>
        <v>0</v>
      </c>
      <c r="F47" s="139">
        <f>F45-F46</f>
        <v>0</v>
      </c>
      <c r="G47" s="139">
        <f>G45-G46</f>
        <v>0</v>
      </c>
      <c r="H47" s="139">
        <f>H45-H46</f>
        <v>0</v>
      </c>
      <c r="I47" s="139">
        <f>I45-I46</f>
        <v>0</v>
      </c>
    </row>
    <row r="50" spans="2:9" x14ac:dyDescent="0.45">
      <c r="B50" s="134" t="s">
        <v>569</v>
      </c>
      <c r="C50" s="135"/>
      <c r="D50" s="135"/>
      <c r="E50" s="135"/>
      <c r="F50" s="135"/>
      <c r="G50" s="135"/>
      <c r="H50" s="135"/>
      <c r="I50" s="135"/>
    </row>
    <row r="51" spans="2:9" x14ac:dyDescent="0.45">
      <c r="B51" s="17" t="s">
        <v>570</v>
      </c>
      <c r="C51" s="38" t="s">
        <v>149</v>
      </c>
      <c r="E51" s="139">
        <f>'Income Statement'!E10+E10</f>
        <v>11087123.287671233</v>
      </c>
      <c r="F51" s="139">
        <f>'Income Statement'!F10+F10</f>
        <v>46624006.84931507</v>
      </c>
      <c r="G51" s="139">
        <f>'Income Statement'!G10+G10</f>
        <v>65406513.698630139</v>
      </c>
      <c r="H51" s="139">
        <f>'Income Statement'!H10+H10</f>
        <v>81724133.989726022</v>
      </c>
      <c r="I51" s="139">
        <f>'Income Statement'!I10+I10</f>
        <v>76161457.024828777</v>
      </c>
    </row>
    <row r="52" spans="2:9" x14ac:dyDescent="0.45">
      <c r="B52" s="17" t="s">
        <v>571</v>
      </c>
      <c r="C52" s="38" t="s">
        <v>149</v>
      </c>
      <c r="E52" s="139">
        <f>'Income Statement'!E18+E11+E12</f>
        <v>-10108402.612521525</v>
      </c>
      <c r="F52" s="139">
        <f>'Income Statement'!F18+F11+F12</f>
        <v>-24844155.633885305</v>
      </c>
      <c r="G52" s="139">
        <f>'Income Statement'!G18+G11+G12</f>
        <v>-30961924.664855186</v>
      </c>
      <c r="H52" s="139">
        <f>'Income Statement'!H18+H11+H12</f>
        <v>-31044313.471430622</v>
      </c>
      <c r="I52" s="139">
        <f>'Income Statement'!I18+I11+I12</f>
        <v>-32197809.932673387</v>
      </c>
    </row>
    <row r="53" spans="2:9" x14ac:dyDescent="0.45">
      <c r="B53" s="17" t="s">
        <v>572</v>
      </c>
      <c r="C53" s="38" t="s">
        <v>149</v>
      </c>
      <c r="E53" s="136">
        <f>'Income Statement'!E27</f>
        <v>-2606550</v>
      </c>
      <c r="F53" s="136">
        <f>'Income Statement'!F27</f>
        <v>-5043665</v>
      </c>
      <c r="G53" s="136">
        <f>'Income Statement'!G27</f>
        <v>-6740848.25</v>
      </c>
      <c r="H53" s="136">
        <f>'Income Statement'!H27</f>
        <v>-8354273.7875000015</v>
      </c>
      <c r="I53" s="136">
        <f>'Income Statement'!I27</f>
        <v>-7592320.8518750006</v>
      </c>
    </row>
    <row r="54" spans="2:9" x14ac:dyDescent="0.45">
      <c r="B54" s="15" t="s">
        <v>573</v>
      </c>
      <c r="C54" s="137" t="s">
        <v>149</v>
      </c>
      <c r="E54" s="138">
        <f>SUM(E51:E53)</f>
        <v>-1627829.3248502929</v>
      </c>
      <c r="F54" s="138">
        <f>SUM(F51:F53)</f>
        <v>16736186.215429764</v>
      </c>
      <c r="G54" s="138">
        <f>SUM(G51:G53)</f>
        <v>27703740.783774957</v>
      </c>
      <c r="H54" s="138">
        <f>SUM(H51:H53)</f>
        <v>42325546.730795398</v>
      </c>
      <c r="I54" s="138">
        <f>SUM(I51:I53)</f>
        <v>36371326.24028039</v>
      </c>
    </row>
    <row r="55" spans="2:9" x14ac:dyDescent="0.45">
      <c r="B55" s="17" t="s">
        <v>574</v>
      </c>
      <c r="C55" s="38" t="s">
        <v>149</v>
      </c>
      <c r="E55" s="136">
        <f>'Income Statement'!E32</f>
        <v>-2747534.5320000001</v>
      </c>
      <c r="F55" s="136">
        <f>'Income Statement'!F32</f>
        <v>-2747534.5320000001</v>
      </c>
      <c r="G55" s="136">
        <f>'Income Statement'!G32</f>
        <v>-2060650.8990000002</v>
      </c>
      <c r="H55" s="136">
        <f>'Income Statement'!H32</f>
        <v>-1373767.2660000003</v>
      </c>
      <c r="I55" s="136">
        <f>'Income Statement'!I32</f>
        <v>-686883.63300000026</v>
      </c>
    </row>
    <row r="56" spans="2:9" x14ac:dyDescent="0.45">
      <c r="B56" s="17" t="s">
        <v>575</v>
      </c>
      <c r="C56" s="38" t="s">
        <v>149</v>
      </c>
      <c r="E56" s="136">
        <f>'Income Statement'!E34</f>
        <v>0</v>
      </c>
      <c r="F56" s="136">
        <f>'Income Statement'!F34</f>
        <v>-3082965.0570254126</v>
      </c>
      <c r="G56" s="136">
        <f>'Income Statement'!G34</f>
        <v>-6857131.0318368813</v>
      </c>
      <c r="H56" s="136">
        <f>'Income Statement'!H34</f>
        <v>-10771036.015602475</v>
      </c>
      <c r="I56" s="136">
        <f>'Income Statement'!I34</f>
        <v>-8787884.836102603</v>
      </c>
    </row>
    <row r="57" spans="2:9" x14ac:dyDescent="0.45">
      <c r="B57" s="15" t="s">
        <v>576</v>
      </c>
      <c r="C57" s="137" t="s">
        <v>149</v>
      </c>
      <c r="E57" s="138">
        <f>SUM(E54:E56)</f>
        <v>-4375363.8568502925</v>
      </c>
      <c r="F57" s="138">
        <f>SUM(F54:F56)</f>
        <v>10905686.626404352</v>
      </c>
      <c r="G57" s="138">
        <f>SUM(G54:G56)</f>
        <v>18785958.852938075</v>
      </c>
      <c r="H57" s="138">
        <f>SUM(H54:H56)</f>
        <v>30180743.449192919</v>
      </c>
      <c r="I57" s="138">
        <f>SUM(I54:I56)</f>
        <v>26896557.771177784</v>
      </c>
    </row>
    <row r="58" spans="2:9" x14ac:dyDescent="0.45">
      <c r="B58" s="17" t="s">
        <v>372</v>
      </c>
      <c r="C58" s="38" t="s">
        <v>149</v>
      </c>
      <c r="E58" s="139">
        <f>E16</f>
        <v>0</v>
      </c>
      <c r="F58" s="139">
        <f>F16</f>
        <v>-5003000</v>
      </c>
      <c r="G58" s="139">
        <f>G16</f>
        <v>0</v>
      </c>
      <c r="H58" s="139">
        <f>H16</f>
        <v>0</v>
      </c>
      <c r="I58" s="139">
        <f>I16</f>
        <v>0</v>
      </c>
    </row>
    <row r="59" spans="2:9" x14ac:dyDescent="0.45">
      <c r="B59" s="15" t="s">
        <v>577</v>
      </c>
      <c r="C59" s="137" t="s">
        <v>149</v>
      </c>
      <c r="E59" s="138">
        <f>E57+E58</f>
        <v>-4375363.8568502925</v>
      </c>
      <c r="F59" s="138">
        <f>F57+F58</f>
        <v>5902686.6264043525</v>
      </c>
      <c r="G59" s="138">
        <f>G57+G58</f>
        <v>18785958.852938075</v>
      </c>
      <c r="H59" s="138">
        <f>H57+H58</f>
        <v>30180743.449192919</v>
      </c>
      <c r="I59" s="138">
        <f>I57+I58</f>
        <v>26896557.771177784</v>
      </c>
    </row>
    <row r="60" spans="2:9" x14ac:dyDescent="0.45">
      <c r="B60" s="17" t="s">
        <v>578</v>
      </c>
      <c r="C60" s="38" t="s">
        <v>149</v>
      </c>
      <c r="E60" s="139">
        <f>E59-E45</f>
        <v>0</v>
      </c>
      <c r="F60" s="139">
        <f>F59-F45</f>
        <v>0</v>
      </c>
      <c r="G60" s="139">
        <f>G59-G45</f>
        <v>0</v>
      </c>
      <c r="H60" s="139">
        <f>H59-H45</f>
        <v>0</v>
      </c>
      <c r="I60" s="139">
        <f>I59-I45</f>
        <v>0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5597"/>
    <pageSetUpPr fitToPage="1"/>
  </sheetPr>
  <dimension ref="B1:I2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579</v>
      </c>
    </row>
    <row r="2" spans="2:9" x14ac:dyDescent="0.45">
      <c r="B2" s="36" t="s">
        <v>580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581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582</v>
      </c>
      <c r="C8" s="38" t="s">
        <v>149</v>
      </c>
      <c r="D8" s="136">
        <f>'FA Schedule'!D32</f>
        <v>45792242.200000003</v>
      </c>
      <c r="E8" s="136">
        <f>'FA Schedule'!E32</f>
        <v>42693365.009999998</v>
      </c>
      <c r="F8" s="136">
        <f>'FA Schedule'!F32</f>
        <v>44597487.82</v>
      </c>
      <c r="G8" s="136">
        <f>'FA Schedule'!G32</f>
        <v>41298610.629999995</v>
      </c>
      <c r="H8" s="136">
        <f>'FA Schedule'!H32</f>
        <v>37999733.439999998</v>
      </c>
      <c r="I8" s="136">
        <f>'FA Schedule'!I32</f>
        <v>34700856.25</v>
      </c>
    </row>
    <row r="9" spans="2:9" x14ac:dyDescent="0.45">
      <c r="B9" s="17" t="s">
        <v>487</v>
      </c>
      <c r="C9" s="38" t="s">
        <v>149</v>
      </c>
      <c r="D9" s="136">
        <f>'Working Capital'!D12</f>
        <v>0</v>
      </c>
      <c r="E9" s="136">
        <f>'Working Capital'!E12</f>
        <v>992876.71232876717</v>
      </c>
      <c r="F9" s="136">
        <f>'Working Capital'!F12</f>
        <v>4086369.8630136987</v>
      </c>
      <c r="G9" s="136">
        <f>'Working Capital'!G12</f>
        <v>5491356.1643835614</v>
      </c>
      <c r="H9" s="136">
        <f>'Working Capital'!H12</f>
        <v>6826815.9246575339</v>
      </c>
      <c r="I9" s="136">
        <f>'Working Capital'!I12</f>
        <v>6209072.3373287683</v>
      </c>
    </row>
    <row r="10" spans="2:9" x14ac:dyDescent="0.45">
      <c r="B10" s="17" t="s">
        <v>61</v>
      </c>
      <c r="C10" s="38" t="s">
        <v>149</v>
      </c>
      <c r="D10" s="136">
        <f>'Working Capital'!D13</f>
        <v>0</v>
      </c>
      <c r="E10" s="136">
        <f>'Working Capital'!E13</f>
        <v>2140602.906181029</v>
      </c>
      <c r="F10" s="136">
        <f>'Working Capital'!F13</f>
        <v>5563318.0739306808</v>
      </c>
      <c r="G10" s="136">
        <f>'Working Capital'!G13</f>
        <v>7342052.4806418996</v>
      </c>
      <c r="H10" s="136">
        <f>'Working Capital'!H13</f>
        <v>7610614.9676876944</v>
      </c>
      <c r="I10" s="136">
        <f>'Working Capital'!I13</f>
        <v>7892799.5105926264</v>
      </c>
    </row>
    <row r="11" spans="2:9" x14ac:dyDescent="0.45">
      <c r="B11" s="17" t="s">
        <v>583</v>
      </c>
      <c r="C11" s="38" t="s">
        <v>149</v>
      </c>
      <c r="D11" s="136">
        <f>'Cash Flow'!D30</f>
        <v>2419945.3164494559</v>
      </c>
      <c r="E11" s="136">
        <f>'Cash Flow'!E30</f>
        <v>500000</v>
      </c>
      <c r="F11" s="136">
        <f>'Cash Flow'!F30</f>
        <v>500000</v>
      </c>
      <c r="G11" s="136">
        <f>'Cash Flow'!G30</f>
        <v>2715194.0366688203</v>
      </c>
      <c r="H11" s="136">
        <f>'Cash Flow'!H30</f>
        <v>10134086.604363294</v>
      </c>
      <c r="I11" s="136">
        <f>'Cash Flow'!I30</f>
        <v>17405778.087069698</v>
      </c>
    </row>
    <row r="12" spans="2:9" x14ac:dyDescent="0.45">
      <c r="B12" s="15" t="s">
        <v>584</v>
      </c>
      <c r="C12" s="137" t="s">
        <v>149</v>
      </c>
      <c r="D12" s="138">
        <f t="shared" ref="D12:I12" si="0">SUM(D8:D11)</f>
        <v>48212187.516449459</v>
      </c>
      <c r="E12" s="138">
        <f t="shared" si="0"/>
        <v>46326844.628509797</v>
      </c>
      <c r="F12" s="138">
        <f t="shared" si="0"/>
        <v>54747175.756944381</v>
      </c>
      <c r="G12" s="138">
        <f t="shared" si="0"/>
        <v>56847213.311694279</v>
      </c>
      <c r="H12" s="138">
        <f t="shared" si="0"/>
        <v>62571250.936708517</v>
      </c>
      <c r="I12" s="138">
        <f t="shared" si="0"/>
        <v>66208506.184991091</v>
      </c>
    </row>
    <row r="14" spans="2:9" x14ac:dyDescent="0.45">
      <c r="B14" s="134" t="s">
        <v>585</v>
      </c>
      <c r="C14" s="135"/>
      <c r="D14" s="135"/>
      <c r="E14" s="135"/>
      <c r="F14" s="135"/>
      <c r="G14" s="135"/>
      <c r="H14" s="135"/>
      <c r="I14" s="135"/>
    </row>
    <row r="15" spans="2:9" x14ac:dyDescent="0.45">
      <c r="B15" s="17" t="s">
        <v>489</v>
      </c>
      <c r="C15" s="38" t="s">
        <v>149</v>
      </c>
      <c r="D15" s="136">
        <f>'Working Capital'!D14</f>
        <v>0</v>
      </c>
      <c r="E15" s="136">
        <f>'Working Capital'!E14</f>
        <v>713534.30206034309</v>
      </c>
      <c r="F15" s="136">
        <f>'Working Capital'!F14</f>
        <v>1854439.3579768934</v>
      </c>
      <c r="G15" s="136">
        <f>'Working Capital'!G14</f>
        <v>2447350.8268806334</v>
      </c>
      <c r="H15" s="136">
        <f>'Working Capital'!H14</f>
        <v>2536871.6558958981</v>
      </c>
      <c r="I15" s="136">
        <f>'Working Capital'!I14</f>
        <v>2630933.1701975423</v>
      </c>
    </row>
    <row r="16" spans="2:9" x14ac:dyDescent="0.45">
      <c r="B16" s="17" t="s">
        <v>586</v>
      </c>
      <c r="C16" s="38" t="s">
        <v>149</v>
      </c>
      <c r="D16" s="136">
        <f>Funding!D29</f>
        <v>22896121.100000001</v>
      </c>
      <c r="E16" s="136">
        <f>Funding!E29</f>
        <v>22896121.100000001</v>
      </c>
      <c r="F16" s="136">
        <f>Funding!F29</f>
        <v>17172090.825000003</v>
      </c>
      <c r="G16" s="136">
        <f>Funding!G29</f>
        <v>11448060.550000003</v>
      </c>
      <c r="H16" s="136">
        <f>Funding!H29</f>
        <v>5724030.2750000022</v>
      </c>
      <c r="I16" s="136">
        <f>Funding!I29</f>
        <v>0</v>
      </c>
    </row>
    <row r="17" spans="2:9" x14ac:dyDescent="0.45">
      <c r="B17" s="15" t="s">
        <v>587</v>
      </c>
      <c r="C17" s="137" t="s">
        <v>149</v>
      </c>
      <c r="D17" s="138">
        <f t="shared" ref="D17:I17" si="1">D15+D16</f>
        <v>22896121.100000001</v>
      </c>
      <c r="E17" s="138">
        <f t="shared" si="1"/>
        <v>23609655.402060345</v>
      </c>
      <c r="F17" s="138">
        <f t="shared" si="1"/>
        <v>19026530.182976898</v>
      </c>
      <c r="G17" s="138">
        <f t="shared" si="1"/>
        <v>13895411.376880636</v>
      </c>
      <c r="H17" s="138">
        <f t="shared" si="1"/>
        <v>8260901.9308959004</v>
      </c>
      <c r="I17" s="138">
        <f t="shared" si="1"/>
        <v>2630933.1701975423</v>
      </c>
    </row>
    <row r="19" spans="2:9" x14ac:dyDescent="0.45">
      <c r="B19" s="134" t="s">
        <v>14</v>
      </c>
      <c r="C19" s="135"/>
      <c r="D19" s="135"/>
      <c r="E19" s="135"/>
      <c r="F19" s="135"/>
      <c r="G19" s="135"/>
      <c r="H19" s="135"/>
      <c r="I19" s="135"/>
    </row>
    <row r="20" spans="2:9" x14ac:dyDescent="0.45">
      <c r="B20" s="17" t="s">
        <v>588</v>
      </c>
      <c r="C20" s="38" t="s">
        <v>149</v>
      </c>
      <c r="D20" s="136">
        <f>'Cash Flow'!D33</f>
        <v>25316066.416449457</v>
      </c>
      <c r="E20" s="136">
        <f>'Cash Flow'!E33</f>
        <v>27771484.956850294</v>
      </c>
      <c r="F20" s="136">
        <f>'Cash Flow'!F33</f>
        <v>27771484.956850294</v>
      </c>
      <c r="G20" s="136">
        <f>'Cash Flow'!G33</f>
        <v>27771484.956850294</v>
      </c>
      <c r="H20" s="136">
        <f>'Cash Flow'!H33</f>
        <v>27771484.956850294</v>
      </c>
      <c r="I20" s="136">
        <f>'Cash Flow'!I33</f>
        <v>27771484.956850294</v>
      </c>
    </row>
    <row r="21" spans="2:9" x14ac:dyDescent="0.45">
      <c r="B21" s="17" t="s">
        <v>589</v>
      </c>
      <c r="C21" s="38" t="s">
        <v>149</v>
      </c>
      <c r="D21" s="136">
        <f>'Cash Flow'!D34</f>
        <v>0</v>
      </c>
      <c r="E21" s="136">
        <f>'Cash Flow'!E34</f>
        <v>-5054295.7304008408</v>
      </c>
      <c r="F21" s="136">
        <f>'Cash Flow'!F34</f>
        <v>7949160.6171171935</v>
      </c>
      <c r="G21" s="136">
        <f>'Cash Flow'!G34</f>
        <v>15180316.977963358</v>
      </c>
      <c r="H21" s="136">
        <f>'Cash Flow'!H34</f>
        <v>26538864.048962332</v>
      </c>
      <c r="I21" s="136">
        <f>'Cash Flow'!I34</f>
        <v>35806088.057943262</v>
      </c>
    </row>
    <row r="22" spans="2:9" x14ac:dyDescent="0.45">
      <c r="B22" s="15" t="s">
        <v>590</v>
      </c>
      <c r="C22" s="137" t="s">
        <v>149</v>
      </c>
      <c r="D22" s="138">
        <f t="shared" ref="D22:I22" si="2">D20+D21</f>
        <v>25316066.416449457</v>
      </c>
      <c r="E22" s="138">
        <f t="shared" si="2"/>
        <v>22717189.226449452</v>
      </c>
      <c r="F22" s="138">
        <f t="shared" si="2"/>
        <v>35720645.573967487</v>
      </c>
      <c r="G22" s="138">
        <f t="shared" si="2"/>
        <v>42951801.934813648</v>
      </c>
      <c r="H22" s="138">
        <f t="shared" si="2"/>
        <v>54310349.00581263</v>
      </c>
      <c r="I22" s="138">
        <f t="shared" si="2"/>
        <v>63577573.01479356</v>
      </c>
    </row>
    <row r="23" spans="2:9" x14ac:dyDescent="0.45">
      <c r="B23" s="15" t="s">
        <v>591</v>
      </c>
      <c r="C23" s="137" t="s">
        <v>149</v>
      </c>
      <c r="D23" s="138">
        <f t="shared" ref="D23:I23" si="3">D17+D22</f>
        <v>48212187.516449459</v>
      </c>
      <c r="E23" s="138">
        <f t="shared" si="3"/>
        <v>46326844.628509797</v>
      </c>
      <c r="F23" s="138">
        <f t="shared" si="3"/>
        <v>54747175.756944388</v>
      </c>
      <c r="G23" s="138">
        <f t="shared" si="3"/>
        <v>56847213.311694287</v>
      </c>
      <c r="H23" s="138">
        <f t="shared" si="3"/>
        <v>62571250.936708532</v>
      </c>
      <c r="I23" s="138">
        <f t="shared" si="3"/>
        <v>66208506.184991099</v>
      </c>
    </row>
    <row r="25" spans="2:9" x14ac:dyDescent="0.45">
      <c r="B25" s="29" t="s">
        <v>592</v>
      </c>
      <c r="C25" s="38" t="s">
        <v>149</v>
      </c>
      <c r="D25" s="51">
        <f t="shared" ref="D25:I25" si="4">ROUND(D12-D23,0)</f>
        <v>0</v>
      </c>
      <c r="E25" s="51">
        <f t="shared" si="4"/>
        <v>0</v>
      </c>
      <c r="F25" s="51">
        <f t="shared" si="4"/>
        <v>0</v>
      </c>
      <c r="G25" s="51">
        <f t="shared" si="4"/>
        <v>0</v>
      </c>
      <c r="H25" s="51">
        <f t="shared" si="4"/>
        <v>0</v>
      </c>
      <c r="I25" s="51">
        <f t="shared" si="4"/>
        <v>0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B1:I62"/>
  <sheetViews>
    <sheetView showGridLines="0" zoomScaleNormal="100" workbookViewId="0">
      <pane xSplit="3" ySplit="5" topLeftCell="D48" activePane="bottomRight" state="frozen"/>
      <selection pane="topRight" activeCell="D1" sqref="D1"/>
      <selection pane="bottomLeft" activeCell="A6" sqref="A6"/>
      <selection pane="bottomRight" activeCell="F65" sqref="F65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593</v>
      </c>
    </row>
    <row r="2" spans="2:9" x14ac:dyDescent="0.45">
      <c r="B2" s="36" t="s">
        <v>594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30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5</v>
      </c>
      <c r="C8" s="38" t="s">
        <v>149</v>
      </c>
      <c r="E8" s="136">
        <f>Operations!E12</f>
        <v>9400000</v>
      </c>
      <c r="F8" s="136">
        <f>Operations!F12</f>
        <v>26880000.000000004</v>
      </c>
      <c r="G8" s="136">
        <f>Operations!G12</f>
        <v>42832125</v>
      </c>
      <c r="H8" s="136">
        <f>Operations!H12</f>
        <v>57881250.000000007</v>
      </c>
      <c r="I8" s="136">
        <f>Operations!I12</f>
        <v>49106452.500000007</v>
      </c>
    </row>
    <row r="9" spans="2:9" x14ac:dyDescent="0.45">
      <c r="B9" s="17" t="s">
        <v>440</v>
      </c>
      <c r="C9" s="38" t="s">
        <v>149</v>
      </c>
      <c r="E9" s="139">
        <f>-(Operations!E28+Operations!E31+Operations!E34)</f>
        <v>-4005084.0084008402</v>
      </c>
      <c r="F9" s="139">
        <f>-(Operations!F28+Operations!F31+Operations!F34)</f>
        <v>-10295220.522052206</v>
      </c>
      <c r="G9" s="139">
        <f>-(Operations!G28+Operations!G31+Operations!G34)</f>
        <v>-16946970.477047704</v>
      </c>
      <c r="H9" s="139">
        <f>-(Operations!H28+Operations!H31+Operations!H34)</f>
        <v>-17445319.00090009</v>
      </c>
      <c r="I9" s="139">
        <f>-(Operations!I28+Operations!I31+Operations!I34)</f>
        <v>-17968584.950945094</v>
      </c>
    </row>
    <row r="10" spans="2:9" x14ac:dyDescent="0.45">
      <c r="B10" s="17" t="s">
        <v>528</v>
      </c>
      <c r="C10" s="38" t="s">
        <v>149</v>
      </c>
      <c r="E10" s="139">
        <f>-(Assumptions!$D$59*Operations!E36)</f>
        <v>-697375</v>
      </c>
      <c r="F10" s="139">
        <f>-(Assumptions!$D$59*Operations!F36)</f>
        <v>-1373487.5</v>
      </c>
      <c r="G10" s="139">
        <f>-(Assumptions!$D$59*Operations!G36)</f>
        <v>-1447166.875</v>
      </c>
      <c r="H10" s="139">
        <f>-(Assumptions!$D$59*Operations!H36)</f>
        <v>-1525030.71875</v>
      </c>
      <c r="I10" s="139">
        <f>-(Assumptions!$D$59*Operations!I36)</f>
        <v>-1607338.3046875</v>
      </c>
    </row>
    <row r="11" spans="2:9" x14ac:dyDescent="0.45">
      <c r="B11" s="15" t="s">
        <v>11</v>
      </c>
      <c r="C11" s="137" t="s">
        <v>149</v>
      </c>
      <c r="E11" s="138">
        <f>SUM(E8:E10)</f>
        <v>4697540.9915991593</v>
      </c>
      <c r="F11" s="138">
        <f>SUM(F8:F10)</f>
        <v>15211291.977947798</v>
      </c>
      <c r="G11" s="138">
        <f>SUM(G8:G10)</f>
        <v>24437987.647952296</v>
      </c>
      <c r="H11" s="138">
        <f>SUM(H8:H10)</f>
        <v>38910900.280349918</v>
      </c>
      <c r="I11" s="138">
        <f>SUM(I8:I10)</f>
        <v>29530529.244367413</v>
      </c>
    </row>
    <row r="12" spans="2:9" x14ac:dyDescent="0.45">
      <c r="B12" s="17" t="s">
        <v>13</v>
      </c>
      <c r="C12" s="38" t="s">
        <v>138</v>
      </c>
      <c r="E12" s="19">
        <f>IFERROR(E11/E8,0)</f>
        <v>0.49973840336161268</v>
      </c>
      <c r="F12" s="19">
        <f>IFERROR(F11/F8,0)</f>
        <v>0.56589627894151029</v>
      </c>
      <c r="G12" s="19">
        <f>IFERROR(G11/G8,0)</f>
        <v>0.57055277196618881</v>
      </c>
      <c r="H12" s="19">
        <f>IFERROR(H11/H8,0)</f>
        <v>0.67225397309750412</v>
      </c>
      <c r="I12" s="19">
        <f>IFERROR(I11/I8,0)</f>
        <v>0.60135741314987901</v>
      </c>
    </row>
    <row r="13" spans="2:9" x14ac:dyDescent="0.45">
      <c r="B13" s="17" t="s">
        <v>530</v>
      </c>
      <c r="C13" s="38" t="s">
        <v>149</v>
      </c>
      <c r="E13" s="139">
        <f>-(Assumptions!$D$59*Operations!E46)</f>
        <v>-816585</v>
      </c>
      <c r="F13" s="139">
        <f>-(Assumptions!$D$59*Operations!F46)</f>
        <v>-1298965.5</v>
      </c>
      <c r="G13" s="139">
        <f>-(Assumptions!$D$59*Operations!G46)</f>
        <v>-1370345.0249999999</v>
      </c>
      <c r="H13" s="139">
        <f>-(Assumptions!$D$59*Operations!H46)</f>
        <v>-1446304.1512499999</v>
      </c>
      <c r="I13" s="139">
        <f>-(Assumptions!$D$59*Operations!I46)</f>
        <v>-1527172.9213124998</v>
      </c>
    </row>
    <row r="14" spans="2:9" x14ac:dyDescent="0.45">
      <c r="B14" s="17" t="s">
        <v>595</v>
      </c>
      <c r="C14" s="38" t="s">
        <v>149</v>
      </c>
      <c r="E14" s="139">
        <f>-(Operations!E37+Operations!E38+Operations!E47)</f>
        <v>-1440000</v>
      </c>
      <c r="F14" s="139">
        <f>-(Operations!F37+Operations!F38+Operations!F47)</f>
        <v>-3188000.0000000005</v>
      </c>
      <c r="G14" s="139">
        <f>-(Operations!G37+Operations!G38+Operations!G47)</f>
        <v>-4783212.5</v>
      </c>
      <c r="H14" s="139">
        <f>-(Operations!H37+Operations!H38+Operations!H47)</f>
        <v>-6288125.0000000009</v>
      </c>
      <c r="I14" s="139">
        <f>-(Operations!I37+Operations!I38+Operations!I47)</f>
        <v>-5410645.2500000009</v>
      </c>
    </row>
    <row r="15" spans="2:9" x14ac:dyDescent="0.45">
      <c r="B15" s="15" t="s">
        <v>17</v>
      </c>
      <c r="C15" s="137" t="s">
        <v>149</v>
      </c>
      <c r="E15" s="138">
        <f>E11+E13+E14</f>
        <v>2440955.9915991593</v>
      </c>
      <c r="F15" s="138">
        <f>F11+F13+F14</f>
        <v>10724326.477947798</v>
      </c>
      <c r="G15" s="138">
        <f>G11+G13+G14</f>
        <v>18284430.122952297</v>
      </c>
      <c r="H15" s="138">
        <f>H11+H13+H14</f>
        <v>31176471.12909992</v>
      </c>
      <c r="I15" s="138">
        <f>I11+I13+I14</f>
        <v>22592711.073054913</v>
      </c>
    </row>
    <row r="16" spans="2:9" x14ac:dyDescent="0.45">
      <c r="B16" s="17" t="s">
        <v>535</v>
      </c>
      <c r="C16" s="38" t="s">
        <v>149</v>
      </c>
      <c r="E16" s="139">
        <f>-(Assumptions!$D$59*'FA Schedule'!E24)</f>
        <v>-2169214.0329999998</v>
      </c>
      <c r="F16" s="139">
        <f>-(Assumptions!$D$59*'FA Schedule'!F24)</f>
        <v>-2169214.0329999998</v>
      </c>
      <c r="G16" s="139">
        <f>-(Assumptions!$D$59*'FA Schedule'!G24)</f>
        <v>-2309214.0329999998</v>
      </c>
      <c r="H16" s="139">
        <f>-(Assumptions!$D$59*'FA Schedule'!H24)</f>
        <v>-2309214.0329999998</v>
      </c>
      <c r="I16" s="139">
        <f>-(Assumptions!$D$59*'FA Schedule'!I24)</f>
        <v>-2309214.0329999998</v>
      </c>
    </row>
    <row r="17" spans="2:9" x14ac:dyDescent="0.45">
      <c r="B17" s="17" t="s">
        <v>58</v>
      </c>
      <c r="C17" s="38" t="s">
        <v>149</v>
      </c>
      <c r="E17" s="139">
        <f>-(Assumptions!$D$59*Funding!E32)</f>
        <v>-1923274.1724</v>
      </c>
      <c r="F17" s="139">
        <f>-(Assumptions!$D$59*Funding!F32)</f>
        <v>-1923274.1724</v>
      </c>
      <c r="G17" s="139">
        <f>-(Assumptions!$D$59*Funding!G32)</f>
        <v>-1442455.6293000001</v>
      </c>
      <c r="H17" s="139">
        <f>-(Assumptions!$D$59*Funding!H32)</f>
        <v>-961637.08620000014</v>
      </c>
      <c r="I17" s="139">
        <f>-(Assumptions!$D$59*Funding!I32)</f>
        <v>-480818.54310000013</v>
      </c>
    </row>
    <row r="18" spans="2:9" x14ac:dyDescent="0.45">
      <c r="B18" s="15" t="s">
        <v>538</v>
      </c>
      <c r="C18" s="137" t="s">
        <v>149</v>
      </c>
      <c r="E18" s="138">
        <f>E15+E16+E17</f>
        <v>-1651532.2138008405</v>
      </c>
      <c r="F18" s="138">
        <f>F15+F16+F17</f>
        <v>6631838.2725477982</v>
      </c>
      <c r="G18" s="138">
        <f>G15+G16+G17</f>
        <v>14532760.460652297</v>
      </c>
      <c r="H18" s="138">
        <f>H15+H16+H17</f>
        <v>27905620.009899922</v>
      </c>
      <c r="I18" s="138">
        <f>I15+I16+I17</f>
        <v>19802678.496954914</v>
      </c>
    </row>
    <row r="19" spans="2:9" x14ac:dyDescent="0.45">
      <c r="B19" s="17" t="s">
        <v>18</v>
      </c>
      <c r="C19" s="38" t="s">
        <v>138</v>
      </c>
      <c r="E19" s="19">
        <f>IFERROR(E15/E8,0)</f>
        <v>0.25967616931905951</v>
      </c>
      <c r="F19" s="19">
        <f>IFERROR(F15/F8,0)</f>
        <v>0.3989704790903198</v>
      </c>
      <c r="G19" s="19">
        <f>IFERROR(G15/G8,0)</f>
        <v>0.42688589751155931</v>
      </c>
      <c r="H19" s="19">
        <f>IFERROR(H15/H8,0)</f>
        <v>0.53862815901695138</v>
      </c>
      <c r="I19" s="19">
        <f>IFERROR(I15/I8,0)</f>
        <v>0.46007622059555026</v>
      </c>
    </row>
    <row r="21" spans="2:9" x14ac:dyDescent="0.45">
      <c r="B21" s="134" t="s">
        <v>32</v>
      </c>
      <c r="C21" s="135"/>
      <c r="D21" s="135"/>
      <c r="E21" s="135"/>
      <c r="F21" s="135"/>
      <c r="G21" s="135"/>
      <c r="H21" s="135"/>
      <c r="I21" s="135"/>
    </row>
    <row r="22" spans="2:9" x14ac:dyDescent="0.45">
      <c r="B22" s="17" t="s">
        <v>5</v>
      </c>
      <c r="C22" s="38" t="s">
        <v>149</v>
      </c>
      <c r="E22" s="136">
        <f>Operations!E15</f>
        <v>2680000</v>
      </c>
      <c r="F22" s="136">
        <f>Operations!F15</f>
        <v>22837500</v>
      </c>
      <c r="G22" s="136">
        <f>Operations!G15</f>
        <v>23979375</v>
      </c>
      <c r="H22" s="136">
        <f>Operations!H15</f>
        <v>25178343.75</v>
      </c>
      <c r="I22" s="136">
        <f>Operations!I15</f>
        <v>26437260.937500004</v>
      </c>
    </row>
    <row r="23" spans="2:9" x14ac:dyDescent="0.45">
      <c r="B23" s="17" t="s">
        <v>440</v>
      </c>
      <c r="C23" s="38" t="s">
        <v>149</v>
      </c>
      <c r="E23" s="139">
        <f>-(Operations!E29+Operations!E32)</f>
        <v>-3680000</v>
      </c>
      <c r="F23" s="139">
        <f>-(Operations!F29+Operations!F32)</f>
        <v>-10305000</v>
      </c>
      <c r="G23" s="139">
        <f>-(Operations!G29+Operations!G32)</f>
        <v>-10761750</v>
      </c>
      <c r="H23" s="139">
        <f>-(Operations!H29+Operations!H32)</f>
        <v>-11241337.500000002</v>
      </c>
      <c r="I23" s="139">
        <f>-(Operations!I29+Operations!I32)</f>
        <v>-11744904.375000002</v>
      </c>
    </row>
    <row r="24" spans="2:9" x14ac:dyDescent="0.45">
      <c r="B24" s="17" t="s">
        <v>528</v>
      </c>
      <c r="C24" s="38" t="s">
        <v>149</v>
      </c>
      <c r="E24" s="139">
        <f>-(Assumptions!$D$60*Operations!E36)</f>
        <v>-298875.00000000006</v>
      </c>
      <c r="F24" s="139">
        <f>-(Assumptions!$D$60*Operations!F36)</f>
        <v>-588637.50000000012</v>
      </c>
      <c r="G24" s="139">
        <f>-(Assumptions!$D$60*Operations!G36)</f>
        <v>-620214.37500000012</v>
      </c>
      <c r="H24" s="139">
        <f>-(Assumptions!$D$60*Operations!H36)</f>
        <v>-653584.59375000012</v>
      </c>
      <c r="I24" s="139">
        <f>-(Assumptions!$D$60*Operations!I36)</f>
        <v>-688859.27343750012</v>
      </c>
    </row>
    <row r="25" spans="2:9" x14ac:dyDescent="0.45">
      <c r="B25" s="15" t="s">
        <v>11</v>
      </c>
      <c r="C25" s="137" t="s">
        <v>149</v>
      </c>
      <c r="E25" s="138">
        <f>SUM(E22:E24)</f>
        <v>-1298875</v>
      </c>
      <c r="F25" s="138">
        <f>SUM(F22:F24)</f>
        <v>11943862.5</v>
      </c>
      <c r="G25" s="138">
        <f>SUM(G22:G24)</f>
        <v>12597410.625</v>
      </c>
      <c r="H25" s="138">
        <f>SUM(H22:H24)</f>
        <v>13283421.656249998</v>
      </c>
      <c r="I25" s="138">
        <f>SUM(I22:I24)</f>
        <v>14003497.289062502</v>
      </c>
    </row>
    <row r="26" spans="2:9" x14ac:dyDescent="0.45">
      <c r="B26" s="17" t="s">
        <v>13</v>
      </c>
      <c r="C26" s="38" t="s">
        <v>138</v>
      </c>
      <c r="E26" s="19">
        <f>IFERROR(E25/E22,0)</f>
        <v>-0.48465485074626868</v>
      </c>
      <c r="F26" s="19">
        <f>IFERROR(F25/F22,0)</f>
        <v>0.52299343185550085</v>
      </c>
      <c r="G26" s="19">
        <f>IFERROR(G25/G22,0)</f>
        <v>0.52534357651106423</v>
      </c>
      <c r="H26" s="19">
        <f>IFERROR(H25/H22,0)</f>
        <v>0.5275732902903908</v>
      </c>
      <c r="I26" s="19">
        <f>IFERROR(I25/I22,0)</f>
        <v>0.5296879023196841</v>
      </c>
    </row>
    <row r="27" spans="2:9" x14ac:dyDescent="0.45">
      <c r="B27" s="17" t="s">
        <v>530</v>
      </c>
      <c r="C27" s="38" t="s">
        <v>149</v>
      </c>
      <c r="E27" s="139">
        <f>-(Assumptions!$D$60*Operations!E46)</f>
        <v>-349965.00000000006</v>
      </c>
      <c r="F27" s="139">
        <f>-(Assumptions!$D$60*Operations!F46)</f>
        <v>-556699.50000000012</v>
      </c>
      <c r="G27" s="139">
        <f>-(Assumptions!$D$60*Operations!G46)</f>
        <v>-587290.72500000009</v>
      </c>
      <c r="H27" s="139">
        <f>-(Assumptions!$D$60*Operations!H46)</f>
        <v>-619844.6362500001</v>
      </c>
      <c r="I27" s="139">
        <f>-(Assumptions!$D$60*Operations!I46)</f>
        <v>-654502.68056250003</v>
      </c>
    </row>
    <row r="28" spans="2:9" x14ac:dyDescent="0.45">
      <c r="B28" s="17" t="s">
        <v>595</v>
      </c>
      <c r="C28" s="38" t="s">
        <v>149</v>
      </c>
      <c r="E28" s="139">
        <f>-(0)</f>
        <v>0</v>
      </c>
      <c r="F28" s="139">
        <f>-(0)</f>
        <v>0</v>
      </c>
      <c r="G28" s="139">
        <f>-(0)</f>
        <v>0</v>
      </c>
      <c r="H28" s="139">
        <f>-(0)</f>
        <v>0</v>
      </c>
      <c r="I28" s="139">
        <f>-(0)</f>
        <v>0</v>
      </c>
    </row>
    <row r="29" spans="2:9" x14ac:dyDescent="0.45">
      <c r="B29" s="15" t="s">
        <v>17</v>
      </c>
      <c r="C29" s="137" t="s">
        <v>149</v>
      </c>
      <c r="E29" s="138">
        <f>E25+E27+E28</f>
        <v>-1648840</v>
      </c>
      <c r="F29" s="138">
        <f>F25+F27+F28</f>
        <v>11387163</v>
      </c>
      <c r="G29" s="138">
        <f>G25+G27+G28</f>
        <v>12010119.9</v>
      </c>
      <c r="H29" s="138">
        <f>H25+H27+H28</f>
        <v>12663577.019999998</v>
      </c>
      <c r="I29" s="138">
        <f>I25+I27+I28</f>
        <v>13348994.608500002</v>
      </c>
    </row>
    <row r="30" spans="2:9" x14ac:dyDescent="0.45">
      <c r="B30" s="17" t="s">
        <v>535</v>
      </c>
      <c r="C30" s="38" t="s">
        <v>149</v>
      </c>
      <c r="E30" s="139">
        <f>-(Assumptions!$D$60*'FA Schedule'!E24)</f>
        <v>-929663.15700000012</v>
      </c>
      <c r="F30" s="139">
        <f>-(Assumptions!$D$60*'FA Schedule'!F24)</f>
        <v>-929663.15700000012</v>
      </c>
      <c r="G30" s="139">
        <f>-(Assumptions!$D$60*'FA Schedule'!G24)</f>
        <v>-989663.15700000012</v>
      </c>
      <c r="H30" s="139">
        <f>-(Assumptions!$D$60*'FA Schedule'!H24)</f>
        <v>-989663.15700000012</v>
      </c>
      <c r="I30" s="139">
        <f>-(Assumptions!$D$60*'FA Schedule'!I24)</f>
        <v>-989663.15700000012</v>
      </c>
    </row>
    <row r="31" spans="2:9" x14ac:dyDescent="0.45">
      <c r="B31" s="17" t="s">
        <v>58</v>
      </c>
      <c r="C31" s="38" t="s">
        <v>149</v>
      </c>
      <c r="E31" s="139">
        <f>-(Assumptions!$D$60*Funding!E32)</f>
        <v>-824260.3596000002</v>
      </c>
      <c r="F31" s="139">
        <f>-(Assumptions!$D$60*Funding!F32)</f>
        <v>-824260.3596000002</v>
      </c>
      <c r="G31" s="139">
        <f>-(Assumptions!$D$60*Funding!G32)</f>
        <v>-618195.26970000018</v>
      </c>
      <c r="H31" s="139">
        <f>-(Assumptions!$D$60*Funding!H32)</f>
        <v>-412130.17980000016</v>
      </c>
      <c r="I31" s="139">
        <f>-(Assumptions!$D$60*Funding!I32)</f>
        <v>-206065.08990000011</v>
      </c>
    </row>
    <row r="32" spans="2:9" x14ac:dyDescent="0.45">
      <c r="B32" s="15" t="s">
        <v>538</v>
      </c>
      <c r="C32" s="137" t="s">
        <v>149</v>
      </c>
      <c r="E32" s="138">
        <f>E29+E30+E31</f>
        <v>-3402763.5166000002</v>
      </c>
      <c r="F32" s="138">
        <f>F29+F30+F31</f>
        <v>9633239.4834000003</v>
      </c>
      <c r="G32" s="138">
        <f>G29+G30+G31</f>
        <v>10402261.473300001</v>
      </c>
      <c r="H32" s="138">
        <f>H29+H30+H31</f>
        <v>11261783.683199998</v>
      </c>
      <c r="I32" s="138">
        <f>I29+I30+I31</f>
        <v>12153266.361600002</v>
      </c>
    </row>
    <row r="33" spans="2:9" x14ac:dyDescent="0.45">
      <c r="B33" s="17" t="s">
        <v>18</v>
      </c>
      <c r="C33" s="38" t="s">
        <v>138</v>
      </c>
      <c r="E33" s="19">
        <f>IFERROR(E29/E22,0)</f>
        <v>-0.61523880597014924</v>
      </c>
      <c r="F33" s="19">
        <f>IFERROR(F29/F22,0)</f>
        <v>0.49861688013136291</v>
      </c>
      <c r="G33" s="19">
        <f>IFERROR(G29/G22,0)</f>
        <v>0.50085208225819067</v>
      </c>
      <c r="H33" s="19">
        <f>IFERROR(H29/H22,0)</f>
        <v>0.5029551246793188</v>
      </c>
      <c r="I33" s="19">
        <f>IFERROR(I29/I22,0)</f>
        <v>0.50493107588029607</v>
      </c>
    </row>
    <row r="35" spans="2:9" x14ac:dyDescent="0.45">
      <c r="B35" s="134" t="s">
        <v>596</v>
      </c>
      <c r="C35" s="135"/>
      <c r="D35" s="135"/>
      <c r="E35" s="135"/>
      <c r="F35" s="135"/>
      <c r="G35" s="135"/>
      <c r="H35" s="135"/>
      <c r="I35" s="135"/>
    </row>
    <row r="36" spans="2:9" x14ac:dyDescent="0.45">
      <c r="B36" s="17" t="s">
        <v>597</v>
      </c>
      <c r="C36" s="38" t="s">
        <v>149</v>
      </c>
      <c r="E36" s="139">
        <f>E8</f>
        <v>9400000</v>
      </c>
      <c r="F36" s="139">
        <f>F8</f>
        <v>26880000.000000004</v>
      </c>
      <c r="G36" s="139">
        <f>G8</f>
        <v>42832125</v>
      </c>
      <c r="H36" s="139">
        <f>H8</f>
        <v>57881250.000000007</v>
      </c>
      <c r="I36" s="139">
        <f>I8</f>
        <v>49106452.500000007</v>
      </c>
    </row>
    <row r="37" spans="2:9" x14ac:dyDescent="0.45">
      <c r="B37" s="17" t="s">
        <v>598</v>
      </c>
      <c r="C37" s="38" t="s">
        <v>149</v>
      </c>
      <c r="E37" s="139">
        <f>E18-E8</f>
        <v>-11051532.21380084</v>
      </c>
      <c r="F37" s="139">
        <f>F18-F8</f>
        <v>-20248161.727452204</v>
      </c>
      <c r="G37" s="139">
        <f>G18-G8</f>
        <v>-28299364.539347701</v>
      </c>
      <c r="H37" s="139">
        <f>H18-H8</f>
        <v>-29975629.990100086</v>
      </c>
      <c r="I37" s="139">
        <f>I18-I8</f>
        <v>-29303774.003045093</v>
      </c>
    </row>
    <row r="38" spans="2:9" x14ac:dyDescent="0.45">
      <c r="B38" s="15" t="s">
        <v>599</v>
      </c>
      <c r="C38" s="137" t="s">
        <v>149</v>
      </c>
      <c r="E38" s="138">
        <f>E18</f>
        <v>-1651532.2138008405</v>
      </c>
      <c r="F38" s="138">
        <f>F18</f>
        <v>6631838.2725477982</v>
      </c>
      <c r="G38" s="138">
        <f>G18</f>
        <v>14532760.460652297</v>
      </c>
      <c r="H38" s="138">
        <f>H18</f>
        <v>27905620.009899922</v>
      </c>
      <c r="I38" s="138">
        <f>I18</f>
        <v>19802678.496954914</v>
      </c>
    </row>
    <row r="39" spans="2:9" x14ac:dyDescent="0.45">
      <c r="B39" s="17" t="s">
        <v>600</v>
      </c>
      <c r="C39" s="38" t="s">
        <v>149</v>
      </c>
      <c r="E39" s="139">
        <f>E22</f>
        <v>2680000</v>
      </c>
      <c r="F39" s="139">
        <f>F22</f>
        <v>22837500</v>
      </c>
      <c r="G39" s="139">
        <f>G22</f>
        <v>23979375</v>
      </c>
      <c r="H39" s="139">
        <f>H22</f>
        <v>25178343.75</v>
      </c>
      <c r="I39" s="139">
        <f>I22</f>
        <v>26437260.937500004</v>
      </c>
    </row>
    <row r="40" spans="2:9" x14ac:dyDescent="0.45">
      <c r="B40" s="17" t="s">
        <v>601</v>
      </c>
      <c r="C40" s="38" t="s">
        <v>149</v>
      </c>
      <c r="E40" s="139">
        <f>E32-E22</f>
        <v>-6082763.5165999997</v>
      </c>
      <c r="F40" s="139">
        <f>F32-F22</f>
        <v>-13204260.5166</v>
      </c>
      <c r="G40" s="139">
        <f>G32-G22</f>
        <v>-13577113.526699999</v>
      </c>
      <c r="H40" s="139">
        <f>H32-H22</f>
        <v>-13916560.066800002</v>
      </c>
      <c r="I40" s="139">
        <f>I32-I22</f>
        <v>-14283994.575900001</v>
      </c>
    </row>
    <row r="41" spans="2:9" x14ac:dyDescent="0.45">
      <c r="B41" s="15" t="s">
        <v>602</v>
      </c>
      <c r="C41" s="137" t="s">
        <v>149</v>
      </c>
      <c r="E41" s="138">
        <f>E32</f>
        <v>-3402763.5166000002</v>
      </c>
      <c r="F41" s="138">
        <f>F32</f>
        <v>9633239.4834000003</v>
      </c>
      <c r="G41" s="138">
        <f>G32</f>
        <v>10402261.473300001</v>
      </c>
      <c r="H41" s="138">
        <f>H32</f>
        <v>11261783.683199998</v>
      </c>
      <c r="I41" s="138">
        <f>I32</f>
        <v>12153266.361600002</v>
      </c>
    </row>
    <row r="42" spans="2:9" x14ac:dyDescent="0.45">
      <c r="B42" s="15" t="s">
        <v>291</v>
      </c>
      <c r="C42" s="137" t="s">
        <v>149</v>
      </c>
      <c r="E42" s="138">
        <f t="shared" ref="E42:I44" si="0">E36+E39</f>
        <v>12080000</v>
      </c>
      <c r="F42" s="138">
        <f t="shared" si="0"/>
        <v>49717500</v>
      </c>
      <c r="G42" s="138">
        <f t="shared" si="0"/>
        <v>66811500</v>
      </c>
      <c r="H42" s="138">
        <f t="shared" si="0"/>
        <v>83059593.75</v>
      </c>
      <c r="I42" s="138">
        <f t="shared" si="0"/>
        <v>75543713.437500015</v>
      </c>
    </row>
    <row r="43" spans="2:9" x14ac:dyDescent="0.45">
      <c r="B43" s="15" t="s">
        <v>603</v>
      </c>
      <c r="C43" s="137" t="s">
        <v>149</v>
      </c>
      <c r="E43" s="138">
        <f t="shared" si="0"/>
        <v>-17134295.730400838</v>
      </c>
      <c r="F43" s="138">
        <f t="shared" si="0"/>
        <v>-33452422.244052202</v>
      </c>
      <c r="G43" s="138">
        <f t="shared" si="0"/>
        <v>-41876478.066047698</v>
      </c>
      <c r="H43" s="138">
        <f t="shared" si="0"/>
        <v>-43892190.056900084</v>
      </c>
      <c r="I43" s="138">
        <f t="shared" si="0"/>
        <v>-43587768.578945093</v>
      </c>
    </row>
    <row r="44" spans="2:9" x14ac:dyDescent="0.45">
      <c r="B44" s="15" t="s">
        <v>604</v>
      </c>
      <c r="C44" s="137" t="s">
        <v>149</v>
      </c>
      <c r="E44" s="138">
        <f t="shared" si="0"/>
        <v>-5054295.7304008408</v>
      </c>
      <c r="F44" s="138">
        <f t="shared" si="0"/>
        <v>16265077.755947798</v>
      </c>
      <c r="G44" s="138">
        <f t="shared" si="0"/>
        <v>24935021.933952298</v>
      </c>
      <c r="H44" s="138">
        <f t="shared" si="0"/>
        <v>39167403.693099916</v>
      </c>
      <c r="I44" s="138">
        <f t="shared" si="0"/>
        <v>31955944.858554915</v>
      </c>
    </row>
    <row r="46" spans="2:9" x14ac:dyDescent="0.45">
      <c r="B46" s="134" t="s">
        <v>605</v>
      </c>
      <c r="C46" s="135"/>
      <c r="D46" s="135"/>
      <c r="E46" s="135"/>
      <c r="F46" s="135"/>
      <c r="G46" s="135"/>
      <c r="H46" s="135"/>
      <c r="I46" s="135"/>
    </row>
    <row r="47" spans="2:9" x14ac:dyDescent="0.45">
      <c r="B47" s="17" t="s">
        <v>606</v>
      </c>
      <c r="C47" s="38" t="s">
        <v>138</v>
      </c>
      <c r="E47" s="19">
        <f>IFERROR(E36/E42,0)</f>
        <v>0.77814569536423839</v>
      </c>
      <c r="F47" s="19">
        <f>IFERROR(F36/F42,0)</f>
        <v>0.54065469904963048</v>
      </c>
      <c r="G47" s="19">
        <f>IFERROR(G36/G42,0)</f>
        <v>0.6410891089108911</v>
      </c>
      <c r="H47" s="19">
        <f>IFERROR(H36/H42,0)</f>
        <v>0.69686411149825789</v>
      </c>
      <c r="I47" s="19">
        <f>IFERROR(I36/I42,0)</f>
        <v>0.65004022526146421</v>
      </c>
    </row>
    <row r="48" spans="2:9" x14ac:dyDescent="0.45">
      <c r="B48" s="17" t="s">
        <v>607</v>
      </c>
      <c r="C48" s="38" t="s">
        <v>138</v>
      </c>
      <c r="E48" s="19">
        <f>IFERROR(E39/E42,0)</f>
        <v>0.22185430463576158</v>
      </c>
      <c r="F48" s="19">
        <f>IFERROR(F39/F42,0)</f>
        <v>0.45934530095036957</v>
      </c>
      <c r="G48" s="19">
        <f>IFERROR(G39/G42,0)</f>
        <v>0.3589108910891089</v>
      </c>
      <c r="H48" s="19">
        <f>IFERROR(H39/H42,0)</f>
        <v>0.30313588850174217</v>
      </c>
      <c r="I48" s="19">
        <f>IFERROR(I39/I42,0)</f>
        <v>0.34995977473853579</v>
      </c>
    </row>
    <row r="49" spans="2:9" x14ac:dyDescent="0.45">
      <c r="B49" s="17" t="s">
        <v>608</v>
      </c>
      <c r="C49" s="38" t="s">
        <v>138</v>
      </c>
      <c r="E49" s="19">
        <f>IFERROR(E38/E44,0)</f>
        <v>0.32675812850979785</v>
      </c>
      <c r="F49" s="19">
        <f>IFERROR(F38/F44,0)</f>
        <v>0.40773480287376268</v>
      </c>
      <c r="G49" s="19">
        <f>IFERROR(G38/G44,0)</f>
        <v>0.58282525273675578</v>
      </c>
      <c r="H49" s="19">
        <f>IFERROR(H38/H44,0)</f>
        <v>0.71247050809283097</v>
      </c>
      <c r="I49" s="19">
        <f>IFERROR(I38/I44,0)</f>
        <v>0.61968684026107101</v>
      </c>
    </row>
    <row r="50" spans="2:9" x14ac:dyDescent="0.45">
      <c r="B50" s="17" t="s">
        <v>609</v>
      </c>
      <c r="C50" s="38" t="s">
        <v>138</v>
      </c>
      <c r="E50" s="19">
        <f>IFERROR(E41/E44,0)</f>
        <v>0.67324187149020209</v>
      </c>
      <c r="F50" s="19">
        <f>IFERROR(F41/F44,0)</f>
        <v>0.59226519712623726</v>
      </c>
      <c r="G50" s="19">
        <f>IFERROR(G41/G44,0)</f>
        <v>0.41717474726324422</v>
      </c>
      <c r="H50" s="19">
        <f>IFERROR(H41/H44,0)</f>
        <v>0.28752949190716909</v>
      </c>
      <c r="I50" s="19">
        <f>IFERROR(I41/I44,0)</f>
        <v>0.38031315973892899</v>
      </c>
    </row>
    <row r="52" spans="2:9" x14ac:dyDescent="0.45">
      <c r="B52" s="134" t="s">
        <v>610</v>
      </c>
      <c r="C52" s="135"/>
      <c r="D52" s="135"/>
      <c r="E52" s="135"/>
      <c r="F52" s="135"/>
      <c r="G52" s="135"/>
      <c r="H52" s="135"/>
      <c r="I52" s="135"/>
    </row>
    <row r="53" spans="2:9" x14ac:dyDescent="0.45">
      <c r="B53" s="17" t="s">
        <v>611</v>
      </c>
      <c r="C53" s="38" t="s">
        <v>149</v>
      </c>
      <c r="D53" s="139">
        <f>Assumptions!$D$59*'FA Schedule'!D32</f>
        <v>32054569.539999999</v>
      </c>
      <c r="E53" s="139">
        <f>Assumptions!$D$59*'FA Schedule'!E32</f>
        <v>29885355.506999996</v>
      </c>
      <c r="F53" s="139">
        <f>Assumptions!$D$59*'FA Schedule'!F32</f>
        <v>31218241.473999999</v>
      </c>
      <c r="G53" s="139">
        <f>Assumptions!$D$59*'FA Schedule'!G32</f>
        <v>28909027.440999996</v>
      </c>
      <c r="H53" s="139">
        <f>Assumptions!$D$59*'FA Schedule'!H32</f>
        <v>26599813.407999996</v>
      </c>
      <c r="I53" s="139">
        <f>Assumptions!$D$59*'FA Schedule'!I32</f>
        <v>24290599.375</v>
      </c>
    </row>
    <row r="54" spans="2:9" x14ac:dyDescent="0.45">
      <c r="B54" s="17" t="s">
        <v>612</v>
      </c>
      <c r="C54" s="38" t="s">
        <v>149</v>
      </c>
      <c r="D54" s="139">
        <f>Assumptions!$D$60*'FA Schedule'!D32</f>
        <v>13737672.660000002</v>
      </c>
      <c r="E54" s="139">
        <f>Assumptions!$D$60*'FA Schedule'!E32</f>
        <v>12808009.503</v>
      </c>
      <c r="F54" s="139">
        <f>Assumptions!$D$60*'FA Schedule'!F32</f>
        <v>13379246.346000003</v>
      </c>
      <c r="G54" s="139">
        <f>Assumptions!$D$60*'FA Schedule'!G32</f>
        <v>12389583.189000001</v>
      </c>
      <c r="H54" s="139">
        <f>Assumptions!$D$60*'FA Schedule'!H32</f>
        <v>11399920.032000002</v>
      </c>
      <c r="I54" s="139">
        <f>Assumptions!$D$60*'FA Schedule'!I32</f>
        <v>10410256.875000002</v>
      </c>
    </row>
    <row r="55" spans="2:9" x14ac:dyDescent="0.45">
      <c r="B55" s="17" t="s">
        <v>613</v>
      </c>
      <c r="C55" s="38" t="s">
        <v>138</v>
      </c>
      <c r="E55" s="19">
        <f>IFERROR((E15+E16)/E53,0)</f>
        <v>9.0928133190689275E-3</v>
      </c>
      <c r="F55" s="19">
        <f>IFERROR((F15+F16)/F53,0)</f>
        <v>0.27404209977915933</v>
      </c>
      <c r="G55" s="19">
        <f>IFERROR((G15+G16)/G53,0)</f>
        <v>0.55260302763750457</v>
      </c>
      <c r="H55" s="19">
        <f>IFERROR((H15+H16)/H53,0)</f>
        <v>1.0852428418696345</v>
      </c>
      <c r="I55" s="19">
        <f>IFERROR((I15+I16)/I53,0)</f>
        <v>0.83503485142201905</v>
      </c>
    </row>
    <row r="56" spans="2:9" x14ac:dyDescent="0.45">
      <c r="B56" s="17" t="s">
        <v>614</v>
      </c>
      <c r="C56" s="38" t="s">
        <v>138</v>
      </c>
      <c r="E56" s="19">
        <f>IFERROR((E29+E30)/E54,0)</f>
        <v>-0.20131958493597629</v>
      </c>
      <c r="F56" s="19">
        <f>IFERROR((F29+F30)/F54,0)</f>
        <v>0.78162099512626748</v>
      </c>
      <c r="G56" s="19">
        <f>IFERROR((G29+G30)/G54,0)</f>
        <v>0.88949374445335905</v>
      </c>
      <c r="H56" s="19">
        <f>IFERROR((H29+H30)/H54,0)</f>
        <v>1.0240347151761491</v>
      </c>
      <c r="I56" s="19">
        <f>IFERROR((I29+I30)/I54,0)</f>
        <v>1.1872263672168033</v>
      </c>
    </row>
    <row r="58" spans="2:9" x14ac:dyDescent="0.45">
      <c r="B58" s="134" t="s">
        <v>615</v>
      </c>
      <c r="C58" s="135"/>
      <c r="D58" s="135"/>
      <c r="E58" s="135"/>
      <c r="F58" s="135"/>
      <c r="G58" s="135"/>
      <c r="H58" s="135"/>
      <c r="I58" s="135"/>
    </row>
    <row r="59" spans="2:9" ht="27.75" customHeight="1" x14ac:dyDescent="0.45">
      <c r="B59" s="186" t="str">
        <f>"Year 4 profit before tax: hatchery "&amp;TEXT(H38/1000000,"0.0")&amp;" million, farming "&amp;TEXT(H41/1000000,"0.0")&amp;" million (BDT)."</f>
        <v>Year 4 profit before tax: hatchery 27.9 million, farming 11.3 million (BDT).</v>
      </c>
      <c r="C59" s="186"/>
      <c r="D59" s="186"/>
      <c r="E59" s="186"/>
      <c r="F59" s="186"/>
      <c r="G59" s="186"/>
      <c r="H59" s="186"/>
      <c r="I59" s="186"/>
    </row>
    <row r="60" spans="2:9" ht="27.75" customHeight="1" x14ac:dyDescent="0.45">
      <c r="B60" s="186" t="str">
        <f>"Hatchery brings "&amp;TEXT(H47,"0%")&amp;" of Year 4 revenue and "&amp;TEXT(H49,"0%")&amp;" of profit before tax."</f>
        <v>Hatchery brings 70% of Year 4 revenue and 71% of profit before tax.</v>
      </c>
      <c r="C60" s="186"/>
      <c r="D60" s="186"/>
      <c r="E60" s="186"/>
      <c r="F60" s="186"/>
      <c r="G60" s="186"/>
      <c r="H60" s="186"/>
      <c r="I60" s="186"/>
    </row>
    <row r="61" spans="2:9" ht="27.75" customHeight="1" x14ac:dyDescent="0.45">
      <c r="B61" s="186" t="str">
        <f>"Farming brings "&amp;TEXT(H48,"0%")&amp;" of revenue and "&amp;TEXT(H50,"0%")&amp;" of profit; in Year 1 farming has only one harvest, so its early loss is expected."</f>
        <v>Farming brings 30% of revenue and 29% of profit; in Year 1 farming has only one harvest, so its early loss is expected.</v>
      </c>
      <c r="C61" s="186"/>
      <c r="D61" s="186"/>
      <c r="E61" s="186"/>
      <c r="F61" s="186"/>
      <c r="G61" s="186"/>
      <c r="H61" s="186"/>
      <c r="I61" s="186"/>
    </row>
    <row r="62" spans="2:9" ht="27.75" customHeight="1" x14ac:dyDescent="0.45">
      <c r="B62" s="186" t="str">
        <f>"Shared costs, depreciation and interest follow the 70/30 split."</f>
        <v>Shared costs, depreciation and interest follow the 70/30 split.</v>
      </c>
      <c r="C62" s="186"/>
      <c r="D62" s="186"/>
      <c r="E62" s="186"/>
      <c r="F62" s="186"/>
      <c r="G62" s="186"/>
      <c r="H62" s="186"/>
      <c r="I62" s="186"/>
    </row>
  </sheetData>
  <mergeCells count="4">
    <mergeCell ref="B59:I59"/>
    <mergeCell ref="B60:I60"/>
    <mergeCell ref="B61:I61"/>
    <mergeCell ref="B62:I62"/>
  </mergeCells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  <pageSetUpPr fitToPage="1"/>
  </sheetPr>
  <dimension ref="B1:I47"/>
  <sheetViews>
    <sheetView showGridLines="0" zoomScaleNormal="100" workbookViewId="0">
      <pane xSplit="3" ySplit="5" topLeftCell="D29" activePane="bottomRight" state="frozen"/>
      <selection pane="topRight" activeCell="D1" sqref="D1"/>
      <selection pane="bottomLeft" activeCell="A6" sqref="A6"/>
      <selection pane="bottomRight" activeCell="A29" sqref="A29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71</v>
      </c>
    </row>
    <row r="2" spans="2:9" x14ac:dyDescent="0.45">
      <c r="B2" s="36" t="s">
        <v>616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617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618</v>
      </c>
      <c r="C8" s="38" t="s">
        <v>138</v>
      </c>
      <c r="D8" s="23">
        <f>Assumptions!$D$40</f>
        <v>0.12</v>
      </c>
    </row>
    <row r="9" spans="2:9" x14ac:dyDescent="0.45">
      <c r="B9" s="17" t="s">
        <v>137</v>
      </c>
      <c r="C9" s="38" t="s">
        <v>138</v>
      </c>
      <c r="D9" s="23">
        <f>Assumptions!$D$39</f>
        <v>0.27500000000000002</v>
      </c>
    </row>
    <row r="10" spans="2:9" x14ac:dyDescent="0.45">
      <c r="B10" s="17" t="s">
        <v>619</v>
      </c>
      <c r="C10" s="38" t="s">
        <v>138</v>
      </c>
      <c r="D10" s="19">
        <f>D8*(1-D9)</f>
        <v>8.6999999999999994E-2</v>
      </c>
    </row>
    <row r="11" spans="2:9" x14ac:dyDescent="0.45">
      <c r="B11" s="17" t="s">
        <v>620</v>
      </c>
      <c r="C11" s="38" t="s">
        <v>138</v>
      </c>
      <c r="D11" s="23">
        <f>Assumptions!$D$48</f>
        <v>0.2</v>
      </c>
    </row>
    <row r="12" spans="2:9" x14ac:dyDescent="0.45">
      <c r="B12" s="17" t="s">
        <v>621</v>
      </c>
      <c r="C12" s="38" t="s">
        <v>149</v>
      </c>
      <c r="D12" s="136">
        <f>Funding!D16</f>
        <v>22896121.100000001</v>
      </c>
    </row>
    <row r="13" spans="2:9" x14ac:dyDescent="0.45">
      <c r="B13" s="17" t="s">
        <v>622</v>
      </c>
      <c r="C13" s="38" t="s">
        <v>149</v>
      </c>
      <c r="D13" s="136">
        <f>Funding!D17</f>
        <v>25316066.416449457</v>
      </c>
    </row>
    <row r="14" spans="2:9" x14ac:dyDescent="0.45">
      <c r="B14" s="17" t="s">
        <v>623</v>
      </c>
      <c r="C14" s="38" t="s">
        <v>138</v>
      </c>
      <c r="D14" s="19">
        <f>D12/(D12+D13)</f>
        <v>0.47490317862445258</v>
      </c>
    </row>
    <row r="15" spans="2:9" x14ac:dyDescent="0.45">
      <c r="B15" s="17" t="s">
        <v>624</v>
      </c>
      <c r="C15" s="38" t="s">
        <v>138</v>
      </c>
      <c r="D15" s="19">
        <f>D13/(D12+D13)</f>
        <v>0.52509682137554736</v>
      </c>
    </row>
    <row r="16" spans="2:9" x14ac:dyDescent="0.45">
      <c r="B16" s="21" t="s">
        <v>625</v>
      </c>
      <c r="C16" s="38" t="s">
        <v>138</v>
      </c>
      <c r="D16" s="154">
        <f>D14*D10+D15*D11</f>
        <v>0.14633594081543685</v>
      </c>
      <c r="F16" s="40" t="s">
        <v>626</v>
      </c>
    </row>
    <row r="18" spans="2:9" x14ac:dyDescent="0.45">
      <c r="B18" s="134" t="s">
        <v>627</v>
      </c>
      <c r="C18" s="135"/>
      <c r="D18" s="135"/>
      <c r="E18" s="135"/>
      <c r="F18" s="135"/>
      <c r="G18" s="135"/>
      <c r="H18" s="135"/>
      <c r="I18" s="135"/>
    </row>
    <row r="19" spans="2:9" x14ac:dyDescent="0.45">
      <c r="B19" s="17" t="s">
        <v>17</v>
      </c>
      <c r="C19" s="38" t="s">
        <v>149</v>
      </c>
      <c r="E19" s="136">
        <f>'Income Statement'!E28</f>
        <v>792115.99159915932</v>
      </c>
      <c r="F19" s="136">
        <f>'Income Statement'!F28</f>
        <v>22111489.477947794</v>
      </c>
      <c r="G19" s="136">
        <f>'Income Statement'!G28</f>
        <v>30294550.022952296</v>
      </c>
      <c r="H19" s="136">
        <f>'Income Statement'!H28</f>
        <v>43840048.149099909</v>
      </c>
      <c r="I19" s="136">
        <f>'Income Statement'!I28</f>
        <v>35941705.681554921</v>
      </c>
    </row>
    <row r="20" spans="2:9" x14ac:dyDescent="0.45">
      <c r="B20" s="17" t="s">
        <v>628</v>
      </c>
      <c r="C20" s="38" t="s">
        <v>149</v>
      </c>
      <c r="E20" s="139">
        <f>-MAX(0,'Income Statement'!E31)*Assumptions!$D$39</f>
        <v>0</v>
      </c>
      <c r="F20" s="139">
        <f>-MAX(0,'Income Statement'!F31)*Assumptions!$D$39</f>
        <v>-5228468.379185643</v>
      </c>
      <c r="G20" s="139">
        <f>-MAX(0,'Income Statement'!G31)*Assumptions!$D$39</f>
        <v>-7423810.0290618818</v>
      </c>
      <c r="H20" s="139">
        <f>-MAX(0,'Income Statement'!H31)*Assumptions!$D$39</f>
        <v>-11148822.013752477</v>
      </c>
      <c r="I20" s="139">
        <f>-MAX(0,'Income Statement'!I31)*Assumptions!$D$39</f>
        <v>-8976777.8351776041</v>
      </c>
    </row>
    <row r="21" spans="2:9" x14ac:dyDescent="0.45">
      <c r="B21" s="17" t="s">
        <v>372</v>
      </c>
      <c r="C21" s="38" t="s">
        <v>149</v>
      </c>
      <c r="D21" s="136">
        <f>'Cash Flow'!D16</f>
        <v>-45792242.200000003</v>
      </c>
      <c r="E21" s="136">
        <f>'Cash Flow'!E16</f>
        <v>0</v>
      </c>
      <c r="F21" s="136">
        <f>'Cash Flow'!F16</f>
        <v>-5003000</v>
      </c>
      <c r="G21" s="136">
        <f>'Cash Flow'!G16</f>
        <v>0</v>
      </c>
      <c r="H21" s="136">
        <f>'Cash Flow'!H16</f>
        <v>0</v>
      </c>
      <c r="I21" s="136">
        <f>'Cash Flow'!I16</f>
        <v>0</v>
      </c>
    </row>
    <row r="22" spans="2:9" x14ac:dyDescent="0.45">
      <c r="B22" s="17" t="s">
        <v>629</v>
      </c>
      <c r="C22" s="38" t="s">
        <v>149</v>
      </c>
      <c r="E22" s="136">
        <f>-'Working Capital'!E16</f>
        <v>-2419945.3164494531</v>
      </c>
      <c r="F22" s="136">
        <f>-'Working Capital'!F16</f>
        <v>-5375303.2625180343</v>
      </c>
      <c r="G22" s="136">
        <f>-'Working Capital'!G16</f>
        <v>-2590809.2391773406</v>
      </c>
      <c r="H22" s="136">
        <f>-'Working Capital'!H16</f>
        <v>-1514501.4183045011</v>
      </c>
      <c r="I22" s="136">
        <f>-'Working Capital'!I16</f>
        <v>429620.55872547813</v>
      </c>
    </row>
    <row r="23" spans="2:9" x14ac:dyDescent="0.45">
      <c r="B23" s="15" t="s">
        <v>630</v>
      </c>
      <c r="C23" s="137" t="s">
        <v>149</v>
      </c>
      <c r="D23" s="138">
        <f t="shared" ref="D23:I23" si="0">SUM(D19:D22)</f>
        <v>-45792242.200000003</v>
      </c>
      <c r="E23" s="138">
        <f t="shared" si="0"/>
        <v>-1627829.3248502938</v>
      </c>
      <c r="F23" s="138">
        <f t="shared" si="0"/>
        <v>6504717.8362441165</v>
      </c>
      <c r="G23" s="138">
        <f t="shared" si="0"/>
        <v>20279930.754713073</v>
      </c>
      <c r="H23" s="138">
        <f t="shared" si="0"/>
        <v>31176724.71704293</v>
      </c>
      <c r="I23" s="138">
        <f t="shared" si="0"/>
        <v>27394548.405102797</v>
      </c>
    </row>
    <row r="24" spans="2:9" x14ac:dyDescent="0.45">
      <c r="B24" s="17" t="s">
        <v>631</v>
      </c>
      <c r="C24" s="38" t="s">
        <v>149</v>
      </c>
      <c r="D24" s="139">
        <f>D23</f>
        <v>-45792242.200000003</v>
      </c>
      <c r="E24" s="139">
        <f>D24+E23</f>
        <v>-47420071.524850294</v>
      </c>
      <c r="F24" s="139">
        <f>E24+F23</f>
        <v>-40915353.68860618</v>
      </c>
      <c r="G24" s="139">
        <f>F24+G23</f>
        <v>-20635422.933893107</v>
      </c>
      <c r="H24" s="139">
        <f>G24+H23</f>
        <v>10541301.783149824</v>
      </c>
      <c r="I24" s="139">
        <f>H24+I23</f>
        <v>37935850.18825262</v>
      </c>
    </row>
    <row r="25" spans="2:9" x14ac:dyDescent="0.45">
      <c r="B25" s="17" t="s">
        <v>632</v>
      </c>
      <c r="C25" s="38" t="s">
        <v>107</v>
      </c>
      <c r="D25" s="155">
        <f>1/(1+Assumptions!$D$49)^D$5</f>
        <v>1</v>
      </c>
      <c r="E25" s="155">
        <f>1/(1+Assumptions!$D$49)^E$5</f>
        <v>0.87234462812764824</v>
      </c>
      <c r="F25" s="155">
        <f>1/(1+Assumptions!$D$49)^F$5</f>
        <v>0.76098515022316493</v>
      </c>
      <c r="G25" s="155">
        <f>1/(1+Assumptions!$D$49)^G$5</f>
        <v>0.66384130788208928</v>
      </c>
      <c r="H25" s="155">
        <f>1/(1+Assumptions!$D$49)^H$5</f>
        <v>0.57909839886017289</v>
      </c>
      <c r="I25" s="155">
        <f>1/(1+Assumptions!$D$49)^I$5</f>
        <v>0.50517337740299406</v>
      </c>
    </row>
    <row r="26" spans="2:9" x14ac:dyDescent="0.45">
      <c r="B26" s="17" t="s">
        <v>633</v>
      </c>
      <c r="C26" s="38" t="s">
        <v>149</v>
      </c>
      <c r="D26" s="139">
        <f t="shared" ref="D26:I26" si="1">D23*D25</f>
        <v>-45792242.200000003</v>
      </c>
      <c r="E26" s="139">
        <f t="shared" si="1"/>
        <v>-1420028.1670418102</v>
      </c>
      <c r="F26" s="139">
        <f t="shared" si="1"/>
        <v>4949993.6797735291</v>
      </c>
      <c r="G26" s="139">
        <f t="shared" si="1"/>
        <v>13462655.755966933</v>
      </c>
      <c r="H26" s="139">
        <f t="shared" si="1"/>
        <v>18054391.36534394</v>
      </c>
      <c r="I26" s="139">
        <f t="shared" si="1"/>
        <v>13838996.540235585</v>
      </c>
    </row>
    <row r="27" spans="2:9" x14ac:dyDescent="0.45">
      <c r="B27" s="17" t="s">
        <v>634</v>
      </c>
      <c r="C27" s="38" t="s">
        <v>149</v>
      </c>
      <c r="D27" s="139">
        <f>D26</f>
        <v>-45792242.200000003</v>
      </c>
      <c r="E27" s="139">
        <f>D27+E26</f>
        <v>-47212270.367041811</v>
      </c>
      <c r="F27" s="139">
        <f>E27+F26</f>
        <v>-42262276.687268279</v>
      </c>
      <c r="G27" s="139">
        <f>F27+G26</f>
        <v>-28799620.931301348</v>
      </c>
      <c r="H27" s="139">
        <f>G27+H26</f>
        <v>-10745229.565957408</v>
      </c>
      <c r="I27" s="139">
        <f>H27+I26</f>
        <v>3093766.9742781762</v>
      </c>
    </row>
    <row r="29" spans="2:9" x14ac:dyDescent="0.45">
      <c r="B29" s="134" t="s">
        <v>635</v>
      </c>
      <c r="C29" s="135"/>
      <c r="D29" s="135"/>
      <c r="E29" s="135"/>
      <c r="F29" s="135"/>
      <c r="G29" s="135"/>
      <c r="H29" s="135"/>
      <c r="I29" s="135"/>
    </row>
    <row r="30" spans="2:9" x14ac:dyDescent="0.45">
      <c r="B30" s="17" t="s">
        <v>636</v>
      </c>
      <c r="C30" s="38" t="s">
        <v>149</v>
      </c>
      <c r="I30" s="139">
        <f>Assumptions!$D$83*(SUM('FA Schedule'!$D8:$I8)*(1+Assumptions!$D$82)+SUM('FA Schedule'!$D9:$I9)+SUM('FA Schedule'!$D10:$I10))</f>
        <v>42674621.899999999</v>
      </c>
    </row>
    <row r="31" spans="2:9" x14ac:dyDescent="0.45">
      <c r="B31" s="17" t="s">
        <v>637</v>
      </c>
      <c r="C31" s="38" t="s">
        <v>149</v>
      </c>
      <c r="I31" s="139">
        <f>Assumptions!$D$87*SUM('FA Schedule'!$D12:$I12)+Assumptions!$D$85*SUM('FA Schedule'!$D13:$I13)+Assumptions!$D$84*SUM('FA Schedule'!$D14:$I14)+Assumptions!$D$86*SUM('FA Schedule'!$D11:$I11)</f>
        <v>405615.625</v>
      </c>
    </row>
    <row r="32" spans="2:9" x14ac:dyDescent="0.45">
      <c r="B32" s="17" t="s">
        <v>638</v>
      </c>
      <c r="C32" s="38" t="s">
        <v>149</v>
      </c>
      <c r="I32" s="136">
        <f>'Working Capital'!I15</f>
        <v>11470938.677723851</v>
      </c>
    </row>
    <row r="33" spans="2:9" x14ac:dyDescent="0.45">
      <c r="B33" s="15" t="s">
        <v>639</v>
      </c>
      <c r="C33" s="137" t="s">
        <v>149</v>
      </c>
      <c r="I33" s="138">
        <f>SUM(I30:I32)</f>
        <v>54551176.202723846</v>
      </c>
    </row>
    <row r="34" spans="2:9" x14ac:dyDescent="0.45">
      <c r="B34" s="15" t="s">
        <v>640</v>
      </c>
      <c r="C34" s="137" t="s">
        <v>149</v>
      </c>
      <c r="D34" s="138">
        <f t="shared" ref="D34:I34" si="2">D23+D33</f>
        <v>-45792242.200000003</v>
      </c>
      <c r="E34" s="138">
        <f t="shared" si="2"/>
        <v>-1627829.3248502938</v>
      </c>
      <c r="F34" s="138">
        <f t="shared" si="2"/>
        <v>6504717.8362441165</v>
      </c>
      <c r="G34" s="138">
        <f t="shared" si="2"/>
        <v>20279930.754713073</v>
      </c>
      <c r="H34" s="138">
        <f t="shared" si="2"/>
        <v>31176724.71704293</v>
      </c>
      <c r="I34" s="138">
        <f t="shared" si="2"/>
        <v>81945724.60782665</v>
      </c>
    </row>
    <row r="36" spans="2:9" x14ac:dyDescent="0.45">
      <c r="B36" s="134" t="s">
        <v>641</v>
      </c>
      <c r="C36" s="135"/>
      <c r="D36" s="135"/>
      <c r="E36" s="135"/>
      <c r="F36" s="135"/>
      <c r="G36" s="135"/>
      <c r="H36" s="135"/>
      <c r="I36" s="135"/>
    </row>
    <row r="37" spans="2:9" x14ac:dyDescent="0.45">
      <c r="B37" s="17" t="s">
        <v>642</v>
      </c>
      <c r="C37" s="38" t="s">
        <v>138</v>
      </c>
      <c r="D37" s="19">
        <f>Assumptions!$D$49</f>
        <v>0.14633594081543685</v>
      </c>
    </row>
    <row r="38" spans="2:9" x14ac:dyDescent="0.45">
      <c r="B38" s="17" t="s">
        <v>643</v>
      </c>
      <c r="C38" s="38" t="s">
        <v>149</v>
      </c>
      <c r="D38" s="139">
        <f>NPV(Assumptions!$D$49,E23:I23)+D23</f>
        <v>3093766.9742781669</v>
      </c>
      <c r="F38" s="40" t="s">
        <v>644</v>
      </c>
    </row>
    <row r="39" spans="2:9" x14ac:dyDescent="0.45">
      <c r="B39" s="17" t="s">
        <v>645</v>
      </c>
      <c r="C39" s="38" t="s">
        <v>138</v>
      </c>
      <c r="D39" s="19">
        <f>IFERROR(IRR(D23:I23),"n/a")</f>
        <v>0.16578190272459659</v>
      </c>
      <c r="F39" s="40" t="s">
        <v>646</v>
      </c>
    </row>
    <row r="40" spans="2:9" x14ac:dyDescent="0.45">
      <c r="B40" s="17" t="s">
        <v>647</v>
      </c>
      <c r="C40" s="38" t="s">
        <v>138</v>
      </c>
      <c r="D40" s="19">
        <f>IFERROR(MIRR(D23:I23,Assumptions!$D$40,Assumptions!$D$40),"n/a")</f>
        <v>0.15447268192296582</v>
      </c>
    </row>
    <row r="41" spans="2:9" x14ac:dyDescent="0.45">
      <c r="B41" s="17" t="s">
        <v>648</v>
      </c>
      <c r="C41" s="38" t="s">
        <v>107</v>
      </c>
      <c r="D41" s="156">
        <f>IFERROR(SUM(E26:I26)/-D26,0)</f>
        <v>1.0675609410162967</v>
      </c>
      <c r="F41" s="40" t="s">
        <v>649</v>
      </c>
    </row>
    <row r="42" spans="2:9" x14ac:dyDescent="0.45">
      <c r="B42" s="17" t="s">
        <v>27</v>
      </c>
      <c r="C42" s="38" t="s">
        <v>145</v>
      </c>
      <c r="D42" s="157">
        <f>IF(COUNTIF(D24:I24,"&lt;0")&gt;5,"&gt; 5",(COUNTIF(D24:I24,"&lt;0")-1)+(-INDEX(D24:I24,COUNTIF(D24:I24,"&lt;0")))/INDEX(D23:I23,COUNTIF(D24:I24,"&lt;0")+1))</f>
        <v>3.66188552906626</v>
      </c>
      <c r="F42" s="40" t="s">
        <v>650</v>
      </c>
    </row>
    <row r="43" spans="2:9" x14ac:dyDescent="0.45">
      <c r="B43" s="17" t="s">
        <v>29</v>
      </c>
      <c r="C43" s="38" t="s">
        <v>145</v>
      </c>
      <c r="D43" s="157">
        <f>IF(COUNTIF(D27:I27,"&lt;0")&gt;5,"&gt; 5",(COUNTIF(D27:I27,"&lt;0")-1)+(-INDEX(D27:I27,COUNTIF(D27:I27,"&lt;0")))/INDEX(D26:I26,COUNTIF(D27:I27,"&lt;0")+1))</f>
        <v>4.7764457151728203</v>
      </c>
    </row>
    <row r="44" spans="2:9" x14ac:dyDescent="0.45">
      <c r="B44" s="17" t="s">
        <v>651</v>
      </c>
      <c r="C44" s="38" t="s">
        <v>149</v>
      </c>
      <c r="D44" s="139">
        <f>NPV(Assumptions!$D$49,E34:I34)+D34</f>
        <v>30651568.897914022</v>
      </c>
      <c r="F44" s="40" t="s">
        <v>652</v>
      </c>
    </row>
    <row r="45" spans="2:9" x14ac:dyDescent="0.45">
      <c r="B45" s="17" t="s">
        <v>653</v>
      </c>
      <c r="C45" s="38" t="s">
        <v>138</v>
      </c>
      <c r="D45" s="19">
        <f>IFERROR(IRR(D34:I34),"n/a")</f>
        <v>0.29333205676161977</v>
      </c>
    </row>
    <row r="46" spans="2:9" x14ac:dyDescent="0.45">
      <c r="B46" s="17" t="s">
        <v>654</v>
      </c>
      <c r="C46" s="38"/>
      <c r="D46" s="39" t="str">
        <f>IF(AND(D44&gt;0,ISNUMBER(D45)),IF(D45&gt;Assumptions!$D$49,"ACCEPT: NPV is positive and IRR is above the required return","REVIEW: IRR is below the required return"),"REJECT: NPV is negative")</f>
        <v>ACCEPT: NPV is positive and IRR is above the required return</v>
      </c>
    </row>
    <row r="47" spans="2:9" x14ac:dyDescent="0.45">
      <c r="B47" s="17" t="s">
        <v>655</v>
      </c>
      <c r="C47" s="38"/>
      <c r="D47" s="39" t="str">
        <f>"Without recovery value the 5-year NPV is BDT "&amp;TEXT(D38/1000000,"0.0")&amp;" million and IRR "&amp;IF(ISNUMBER(D39),TEXT(D39,"0.0%"),"n/a")&amp;": value comes from assets and earnings that continue beyond Year 5."</f>
        <v>Without recovery value the 5-year NPV is BDT 3.1 million and IRR 16.6%: value comes from assets and earnings that continue beyond Year 5.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  <pageSetUpPr fitToPage="1"/>
  </sheetPr>
  <dimension ref="B1:I40"/>
  <sheetViews>
    <sheetView showGridLines="0" zoomScaleNormal="100" workbookViewId="0">
      <pane xSplit="3" ySplit="5" topLeftCell="D27" activePane="bottomRight" state="frozen"/>
      <selection pane="topRight" activeCell="D1" sqref="D1"/>
      <selection pane="bottomLeft" activeCell="A6" sqref="A6"/>
      <selection pane="bottomRight" activeCell="A48" sqref="A48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656</v>
      </c>
    </row>
    <row r="2" spans="2:9" x14ac:dyDescent="0.45">
      <c r="B2" s="36" t="s">
        <v>657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658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659</v>
      </c>
      <c r="C8" s="38" t="s">
        <v>149</v>
      </c>
      <c r="D8" s="136">
        <f>'Cash Flow'!D22</f>
        <v>25316066.416449457</v>
      </c>
    </row>
    <row r="9" spans="2:9" x14ac:dyDescent="0.45">
      <c r="B9" s="17" t="s">
        <v>660</v>
      </c>
      <c r="C9" s="38" t="s">
        <v>149</v>
      </c>
      <c r="E9" s="136">
        <f>'Cash Flow'!E22</f>
        <v>2455418.5404008375</v>
      </c>
      <c r="F9" s="136">
        <f>'Cash Flow'!F22</f>
        <v>0</v>
      </c>
      <c r="G9" s="136">
        <f>'Cash Flow'!G22</f>
        <v>0</v>
      </c>
      <c r="H9" s="136">
        <f>'Cash Flow'!H22</f>
        <v>0</v>
      </c>
      <c r="I9" s="136">
        <f>'Cash Flow'!I22</f>
        <v>0</v>
      </c>
    </row>
    <row r="10" spans="2:9" x14ac:dyDescent="0.45">
      <c r="B10" s="15" t="s">
        <v>661</v>
      </c>
      <c r="C10" s="137" t="s">
        <v>149</v>
      </c>
      <c r="D10" s="138">
        <f t="shared" ref="D10:I10" si="0">SUM(D8:D9)</f>
        <v>25316066.416449457</v>
      </c>
      <c r="E10" s="138">
        <f t="shared" si="0"/>
        <v>2455418.5404008375</v>
      </c>
      <c r="F10" s="138">
        <f t="shared" si="0"/>
        <v>0</v>
      </c>
      <c r="G10" s="138">
        <f t="shared" si="0"/>
        <v>0</v>
      </c>
      <c r="H10" s="138">
        <f t="shared" si="0"/>
        <v>0</v>
      </c>
      <c r="I10" s="138">
        <f t="shared" si="0"/>
        <v>0</v>
      </c>
    </row>
    <row r="11" spans="2:9" x14ac:dyDescent="0.45">
      <c r="B11" s="17" t="s">
        <v>662</v>
      </c>
      <c r="C11" s="38" t="s">
        <v>149</v>
      </c>
      <c r="D11" s="139">
        <f>D10</f>
        <v>25316066.416449457</v>
      </c>
      <c r="E11" s="139">
        <f>D11+E10</f>
        <v>27771484.956850294</v>
      </c>
      <c r="F11" s="139">
        <f>E11+F10</f>
        <v>27771484.956850294</v>
      </c>
      <c r="G11" s="139">
        <f>F11+G10</f>
        <v>27771484.956850294</v>
      </c>
      <c r="H11" s="139">
        <f>G11+H10</f>
        <v>27771484.956850294</v>
      </c>
      <c r="I11" s="139">
        <f>H11+I10</f>
        <v>27771484.956850294</v>
      </c>
    </row>
    <row r="13" spans="2:9" x14ac:dyDescent="0.45">
      <c r="B13" s="134" t="s">
        <v>663</v>
      </c>
      <c r="C13" s="135"/>
      <c r="D13" s="135"/>
      <c r="E13" s="135"/>
      <c r="F13" s="135"/>
      <c r="G13" s="135"/>
      <c r="H13" s="135"/>
      <c r="I13" s="135"/>
    </row>
    <row r="14" spans="2:9" x14ac:dyDescent="0.45">
      <c r="B14" s="17" t="s">
        <v>22</v>
      </c>
      <c r="C14" s="38" t="s">
        <v>149</v>
      </c>
      <c r="E14" s="136">
        <f>'Income Statement'!E35</f>
        <v>-5054295.7304008408</v>
      </c>
      <c r="F14" s="136">
        <f>'Income Statement'!F35</f>
        <v>13182112.698922381</v>
      </c>
      <c r="G14" s="136">
        <f>'Income Statement'!G35</f>
        <v>18077890.902115412</v>
      </c>
      <c r="H14" s="136">
        <f>'Income Statement'!H35</f>
        <v>28396367.677497432</v>
      </c>
      <c r="I14" s="136">
        <f>'Income Statement'!I35</f>
        <v>23168060.022452317</v>
      </c>
    </row>
    <row r="15" spans="2:9" x14ac:dyDescent="0.45">
      <c r="B15" s="17" t="s">
        <v>558</v>
      </c>
      <c r="C15" s="38" t="s">
        <v>149</v>
      </c>
      <c r="E15" s="136">
        <f>-'Cash Flow'!E23</f>
        <v>0</v>
      </c>
      <c r="F15" s="136">
        <f>-'Cash Flow'!F23</f>
        <v>178656.35140434653</v>
      </c>
      <c r="G15" s="136">
        <f>-'Cash Flow'!G23</f>
        <v>10846734.541269246</v>
      </c>
      <c r="H15" s="136">
        <f>-'Cash Flow'!H23</f>
        <v>17037820.606498457</v>
      </c>
      <c r="I15" s="136">
        <f>-'Cash Flow'!I23</f>
        <v>13900836.013471389</v>
      </c>
    </row>
    <row r="16" spans="2:9" x14ac:dyDescent="0.45">
      <c r="B16" s="17" t="s">
        <v>664</v>
      </c>
      <c r="C16" s="38" t="s">
        <v>138</v>
      </c>
      <c r="E16" s="19">
        <f>IF(E14&gt;0,E15/E14,0)</f>
        <v>0</v>
      </c>
      <c r="F16" s="19">
        <f>IF(F14&gt;0,F15/F14,0)</f>
        <v>1.3552937642457831E-2</v>
      </c>
      <c r="G16" s="19">
        <f>IF(G14&gt;0,G15/G14,0)</f>
        <v>0.6</v>
      </c>
      <c r="H16" s="19">
        <f>IF(H14&gt;0,H15/H14,0)</f>
        <v>0.6</v>
      </c>
      <c r="I16" s="19">
        <f>IF(I14&gt;0,I15/I14,0)</f>
        <v>0.6</v>
      </c>
    </row>
    <row r="17" spans="2:9" x14ac:dyDescent="0.45">
      <c r="B17" s="17" t="s">
        <v>665</v>
      </c>
      <c r="C17" s="38" t="s">
        <v>149</v>
      </c>
      <c r="E17" s="139">
        <f>E15</f>
        <v>0</v>
      </c>
      <c r="F17" s="139">
        <f>E17+F15</f>
        <v>178656.35140434653</v>
      </c>
      <c r="G17" s="139">
        <f>F17+G15</f>
        <v>11025390.892673593</v>
      </c>
      <c r="H17" s="139">
        <f>G17+H15</f>
        <v>28063211.499172051</v>
      </c>
      <c r="I17" s="139">
        <f>H17+I15</f>
        <v>41964047.512643442</v>
      </c>
    </row>
    <row r="18" spans="2:9" x14ac:dyDescent="0.45">
      <c r="B18" s="17" t="s">
        <v>666</v>
      </c>
      <c r="C18" s="38" t="s">
        <v>138</v>
      </c>
      <c r="E18" s="19">
        <f>E17/E11</f>
        <v>0</v>
      </c>
      <c r="F18" s="19">
        <f>F17/F11</f>
        <v>6.4330860118546884E-3</v>
      </c>
      <c r="G18" s="19">
        <f>G17/G11</f>
        <v>0.39700401004138597</v>
      </c>
      <c r="H18" s="19">
        <f>H17/H11</f>
        <v>1.0105045352373134</v>
      </c>
      <c r="I18" s="19">
        <f>I17/I11</f>
        <v>1.5110480256221344</v>
      </c>
    </row>
    <row r="19" spans="2:9" x14ac:dyDescent="0.45">
      <c r="B19" s="17" t="s">
        <v>667</v>
      </c>
      <c r="C19" s="38" t="s">
        <v>138</v>
      </c>
      <c r="E19" s="19">
        <f>E15/E11</f>
        <v>0</v>
      </c>
      <c r="F19" s="19">
        <f>F15/F11</f>
        <v>6.4330860118546884E-3</v>
      </c>
      <c r="G19" s="19">
        <f>G15/G11</f>
        <v>0.39057092402953125</v>
      </c>
      <c r="H19" s="19">
        <f>H15/H11</f>
        <v>0.61350052519592757</v>
      </c>
      <c r="I19" s="19">
        <f>I15/I11</f>
        <v>0.50054349038482071</v>
      </c>
    </row>
    <row r="20" spans="2:9" x14ac:dyDescent="0.45">
      <c r="B20" s="17" t="s">
        <v>564</v>
      </c>
      <c r="C20" s="38" t="s">
        <v>149</v>
      </c>
      <c r="D20" s="136">
        <f>'Balance Sheet'!D21</f>
        <v>0</v>
      </c>
      <c r="E20" s="136">
        <f>'Balance Sheet'!E21</f>
        <v>-5054295.7304008408</v>
      </c>
      <c r="F20" s="136">
        <f>'Balance Sheet'!F21</f>
        <v>7949160.6171171935</v>
      </c>
      <c r="G20" s="136">
        <f>'Balance Sheet'!G21</f>
        <v>15180316.977963358</v>
      </c>
      <c r="H20" s="136">
        <f>'Balance Sheet'!H21</f>
        <v>26538864.048962332</v>
      </c>
      <c r="I20" s="136">
        <f>'Balance Sheet'!I21</f>
        <v>35806088.057943262</v>
      </c>
    </row>
    <row r="21" spans="2:9" x14ac:dyDescent="0.45">
      <c r="B21" s="17" t="s">
        <v>668</v>
      </c>
      <c r="C21" s="38" t="s">
        <v>149</v>
      </c>
      <c r="D21" s="136">
        <f>'Balance Sheet'!D22</f>
        <v>25316066.416449457</v>
      </c>
      <c r="E21" s="136">
        <f>'Balance Sheet'!E22</f>
        <v>22717189.226449452</v>
      </c>
      <c r="F21" s="136">
        <f>'Balance Sheet'!F22</f>
        <v>35720645.573967487</v>
      </c>
      <c r="G21" s="136">
        <f>'Balance Sheet'!G22</f>
        <v>42951801.934813648</v>
      </c>
      <c r="H21" s="136">
        <f>'Balance Sheet'!H22</f>
        <v>54310349.00581263</v>
      </c>
      <c r="I21" s="136">
        <f>'Balance Sheet'!I22</f>
        <v>63577573.01479356</v>
      </c>
    </row>
    <row r="23" spans="2:9" x14ac:dyDescent="0.45">
      <c r="B23" s="134" t="s">
        <v>669</v>
      </c>
      <c r="C23" s="135"/>
      <c r="D23" s="135"/>
      <c r="E23" s="135"/>
      <c r="F23" s="135"/>
      <c r="G23" s="135"/>
      <c r="H23" s="135"/>
      <c r="I23" s="135"/>
    </row>
    <row r="24" spans="2:9" x14ac:dyDescent="0.45">
      <c r="B24" s="17" t="s">
        <v>670</v>
      </c>
      <c r="C24" s="38" t="s">
        <v>149</v>
      </c>
      <c r="E24" s="139">
        <f>'Cash Flow'!E13+'Cash Flow'!E17+'Cash Flow'!E21</f>
        <v>-4375363.8568502935</v>
      </c>
      <c r="F24" s="139">
        <f>'Cash Flow'!F13+'Cash Flow'!F17+'Cash Flow'!F21</f>
        <v>178656.35140434653</v>
      </c>
      <c r="G24" s="139">
        <f>'Cash Flow'!G13+'Cash Flow'!G17+'Cash Flow'!G21</f>
        <v>13061928.577938067</v>
      </c>
      <c r="H24" s="139">
        <f>'Cash Flow'!H13+'Cash Flow'!H17+'Cash Flow'!H21</f>
        <v>24456713.174192928</v>
      </c>
      <c r="I24" s="139">
        <f>'Cash Flow'!I13+'Cash Flow'!I17+'Cash Flow'!I21</f>
        <v>21172527.496177793</v>
      </c>
    </row>
    <row r="25" spans="2:9" x14ac:dyDescent="0.45">
      <c r="B25" s="17" t="s">
        <v>671</v>
      </c>
      <c r="C25" s="38" t="s">
        <v>149</v>
      </c>
      <c r="D25" s="139">
        <f>-D10</f>
        <v>-25316066.416449457</v>
      </c>
      <c r="E25" s="139">
        <f>E15-E9</f>
        <v>-2455418.5404008375</v>
      </c>
      <c r="F25" s="139">
        <f>F15-F9</f>
        <v>178656.35140434653</v>
      </c>
      <c r="G25" s="139">
        <f>G15-G9</f>
        <v>10846734.541269246</v>
      </c>
      <c r="H25" s="139">
        <f>H15-H9</f>
        <v>17037820.606498457</v>
      </c>
      <c r="I25" s="139">
        <f>I15-I9</f>
        <v>13900836.013471389</v>
      </c>
    </row>
    <row r="26" spans="2:9" x14ac:dyDescent="0.45">
      <c r="B26" s="17" t="s">
        <v>672</v>
      </c>
      <c r="C26" s="38" t="s">
        <v>149</v>
      </c>
      <c r="D26" s="139">
        <f>D25</f>
        <v>-25316066.416449457</v>
      </c>
      <c r="E26" s="139">
        <f>E25</f>
        <v>-2455418.5404008375</v>
      </c>
      <c r="F26" s="139">
        <f>F25</f>
        <v>178656.35140434653</v>
      </c>
      <c r="G26" s="139">
        <f>G25</f>
        <v>10846734.541269246</v>
      </c>
      <c r="H26" s="139">
        <f>H25</f>
        <v>17037820.606498457</v>
      </c>
      <c r="I26" s="139">
        <f>I25+I21</f>
        <v>77478409.028264955</v>
      </c>
    </row>
    <row r="28" spans="2:9" x14ac:dyDescent="0.45">
      <c r="B28" s="134" t="s">
        <v>673</v>
      </c>
      <c r="C28" s="135"/>
      <c r="D28" s="135"/>
      <c r="E28" s="135"/>
      <c r="F28" s="135"/>
      <c r="G28" s="135"/>
      <c r="H28" s="135"/>
      <c r="I28" s="135"/>
    </row>
    <row r="29" spans="2:9" x14ac:dyDescent="0.45">
      <c r="B29" s="17" t="s">
        <v>674</v>
      </c>
      <c r="C29" s="38" t="s">
        <v>149</v>
      </c>
      <c r="D29" s="139">
        <f>I11</f>
        <v>27771484.956850294</v>
      </c>
    </row>
    <row r="30" spans="2:9" x14ac:dyDescent="0.45">
      <c r="B30" s="17" t="s">
        <v>675</v>
      </c>
      <c r="C30" s="38" t="s">
        <v>149</v>
      </c>
      <c r="D30" s="139">
        <f>I17</f>
        <v>41964047.512643442</v>
      </c>
    </row>
    <row r="31" spans="2:9" x14ac:dyDescent="0.45">
      <c r="B31" s="17" t="s">
        <v>39</v>
      </c>
      <c r="C31" s="38" t="s">
        <v>138</v>
      </c>
      <c r="D31" s="19">
        <f>D30/D29</f>
        <v>1.5110480256221344</v>
      </c>
    </row>
    <row r="32" spans="2:9" x14ac:dyDescent="0.45">
      <c r="B32" s="17" t="s">
        <v>676</v>
      </c>
      <c r="C32" s="38" t="s">
        <v>149</v>
      </c>
      <c r="D32" s="139">
        <f>I21</f>
        <v>63577573.01479356</v>
      </c>
    </row>
    <row r="33" spans="2:9" x14ac:dyDescent="0.45">
      <c r="B33" s="17" t="s">
        <v>677</v>
      </c>
      <c r="C33" s="38" t="s">
        <v>107</v>
      </c>
      <c r="D33" s="156">
        <f>(D30+D32)/D29</f>
        <v>3.8003592782820719</v>
      </c>
    </row>
    <row r="34" spans="2:9" x14ac:dyDescent="0.45">
      <c r="B34" s="17" t="s">
        <v>678</v>
      </c>
      <c r="C34" s="38" t="s">
        <v>138</v>
      </c>
      <c r="D34" s="19">
        <f>IFERROR(IRR(D25:I25),"n/a")</f>
        <v>0.1102127806460016</v>
      </c>
    </row>
    <row r="35" spans="2:9" x14ac:dyDescent="0.45">
      <c r="B35" s="17" t="s">
        <v>679</v>
      </c>
      <c r="C35" s="38" t="s">
        <v>138</v>
      </c>
      <c r="D35" s="19">
        <f>IFERROR(IRR(D26:I26),"n/a")</f>
        <v>0.34750684730893977</v>
      </c>
    </row>
    <row r="37" spans="2:9" x14ac:dyDescent="0.45">
      <c r="B37" s="176" t="str">
        <f>"The owner invests BDT "&amp;TEXT(D29/1000000,"0.0")&amp;" million and receives BDT "&amp;TEXT(D30/1000000,"0.0")&amp;" million in dividends over 5 years ("&amp;TEXT(D31,"0%")&amp;" of the investment). Book equity at the end of Year 5 is BDT "&amp;TEXT(D32/1000000,"0.0")&amp;" million."</f>
        <v>The owner invests BDT 27.8 million and receives BDT 42.0 million in dividends over 5 years (151% of the investment). Book equity at the end of Year 5 is BDT 63.6 million.</v>
      </c>
      <c r="C37" s="176"/>
      <c r="D37" s="176"/>
      <c r="E37" s="176"/>
      <c r="F37" s="176"/>
      <c r="G37" s="176"/>
      <c r="H37" s="176"/>
      <c r="I37" s="176"/>
    </row>
    <row r="38" spans="2:9" x14ac:dyDescent="0.45">
      <c r="B38" s="176"/>
      <c r="C38" s="176"/>
      <c r="D38" s="176"/>
      <c r="E38" s="176"/>
      <c r="F38" s="176"/>
      <c r="G38" s="176"/>
      <c r="H38" s="176"/>
      <c r="I38" s="176"/>
    </row>
    <row r="40" spans="2:9" x14ac:dyDescent="0.45">
      <c r="B40" s="40" t="s">
        <v>680</v>
      </c>
    </row>
  </sheetData>
  <mergeCells count="1">
    <mergeCell ref="B37:I38"/>
  </mergeCells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F9000"/>
    <pageSetUpPr fitToPage="1"/>
  </sheetPr>
  <dimension ref="B1:I51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25" x14ac:dyDescent="0.45"/>
  <cols>
    <col min="1" max="1" width="2" customWidth="1"/>
    <col min="2" max="2" width="6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681</v>
      </c>
    </row>
    <row r="2" spans="2:9" x14ac:dyDescent="0.45">
      <c r="B2" s="36" t="s">
        <v>682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683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17</v>
      </c>
      <c r="C8" s="38" t="s">
        <v>149</v>
      </c>
      <c r="E8" s="136">
        <f>'Income Statement'!E28</f>
        <v>792115.99159915932</v>
      </c>
      <c r="F8" s="136">
        <f>'Income Statement'!F28</f>
        <v>22111489.477947794</v>
      </c>
      <c r="G8" s="136">
        <f>'Income Statement'!G28</f>
        <v>30294550.022952296</v>
      </c>
      <c r="H8" s="136">
        <f>'Income Statement'!H28</f>
        <v>43840048.149099909</v>
      </c>
      <c r="I8" s="136">
        <f>'Income Statement'!I28</f>
        <v>35941705.681554921</v>
      </c>
    </row>
    <row r="9" spans="2:9" x14ac:dyDescent="0.45">
      <c r="B9" s="17" t="s">
        <v>684</v>
      </c>
      <c r="C9" s="38" t="s">
        <v>149</v>
      </c>
      <c r="E9" s="136">
        <f>'Income Statement'!E34</f>
        <v>0</v>
      </c>
      <c r="F9" s="136">
        <f>'Income Statement'!F34</f>
        <v>-3082965.0570254126</v>
      </c>
      <c r="G9" s="136">
        <f>'Income Statement'!G34</f>
        <v>-6857131.0318368813</v>
      </c>
      <c r="H9" s="136">
        <f>'Income Statement'!H34</f>
        <v>-10771036.015602475</v>
      </c>
      <c r="I9" s="136">
        <f>'Income Statement'!I34</f>
        <v>-8787884.836102603</v>
      </c>
    </row>
    <row r="10" spans="2:9" x14ac:dyDescent="0.45">
      <c r="B10" s="17" t="s">
        <v>685</v>
      </c>
      <c r="C10" s="38" t="s">
        <v>149</v>
      </c>
      <c r="E10" s="136">
        <f>-'Working Capital'!E16</f>
        <v>-2419945.3164494531</v>
      </c>
      <c r="F10" s="136">
        <f>-'Working Capital'!F16</f>
        <v>-5375303.2625180343</v>
      </c>
      <c r="G10" s="136">
        <f>-'Working Capital'!G16</f>
        <v>-2590809.2391773406</v>
      </c>
      <c r="H10" s="136">
        <f>-'Working Capital'!H16</f>
        <v>-1514501.4183045011</v>
      </c>
      <c r="I10" s="136">
        <f>-'Working Capital'!I16</f>
        <v>429620.55872547813</v>
      </c>
    </row>
    <row r="11" spans="2:9" x14ac:dyDescent="0.45">
      <c r="B11" s="15" t="s">
        <v>686</v>
      </c>
      <c r="C11" s="137" t="s">
        <v>149</v>
      </c>
      <c r="E11" s="138">
        <f>SUM(E8:E10)</f>
        <v>-1627829.3248502938</v>
      </c>
      <c r="F11" s="138">
        <f>SUM(F8:F10)</f>
        <v>13653221.158404347</v>
      </c>
      <c r="G11" s="138">
        <f>SUM(G8:G10)</f>
        <v>20846609.751938075</v>
      </c>
      <c r="H11" s="138">
        <f>SUM(H8:H10)</f>
        <v>31554510.715192929</v>
      </c>
      <c r="I11" s="138">
        <f>SUM(I8:I10)</f>
        <v>27583441.404177792</v>
      </c>
    </row>
    <row r="12" spans="2:9" x14ac:dyDescent="0.45">
      <c r="B12" s="17" t="s">
        <v>58</v>
      </c>
      <c r="C12" s="38" t="s">
        <v>149</v>
      </c>
      <c r="E12" s="136">
        <f>Funding!E32</f>
        <v>2747534.5320000001</v>
      </c>
      <c r="F12" s="136">
        <f>Funding!F32</f>
        <v>2747534.5320000001</v>
      </c>
      <c r="G12" s="136">
        <f>Funding!G32</f>
        <v>2060650.8990000002</v>
      </c>
      <c r="H12" s="136">
        <f>Funding!H32</f>
        <v>1373767.2660000003</v>
      </c>
      <c r="I12" s="136">
        <f>Funding!I32</f>
        <v>686883.63300000026</v>
      </c>
    </row>
    <row r="13" spans="2:9" x14ac:dyDescent="0.45">
      <c r="B13" s="17" t="s">
        <v>687</v>
      </c>
      <c r="C13" s="38" t="s">
        <v>149</v>
      </c>
      <c r="E13" s="136">
        <f>Funding!E28</f>
        <v>0</v>
      </c>
      <c r="F13" s="136">
        <f>Funding!F28</f>
        <v>5724030.2750000004</v>
      </c>
      <c r="G13" s="136">
        <f>Funding!G28</f>
        <v>5724030.2750000004</v>
      </c>
      <c r="H13" s="136">
        <f>Funding!H28</f>
        <v>5724030.2750000004</v>
      </c>
      <c r="I13" s="136">
        <f>Funding!I28</f>
        <v>5724030.2750000004</v>
      </c>
    </row>
    <row r="14" spans="2:9" x14ac:dyDescent="0.45">
      <c r="B14" s="15" t="s">
        <v>688</v>
      </c>
      <c r="C14" s="137" t="s">
        <v>149</v>
      </c>
      <c r="E14" s="138">
        <f>E12+E13</f>
        <v>2747534.5320000001</v>
      </c>
      <c r="F14" s="138">
        <f>F12+F13</f>
        <v>8471564.807</v>
      </c>
      <c r="G14" s="138">
        <f>G12+G13</f>
        <v>7784681.1740000006</v>
      </c>
      <c r="H14" s="138">
        <f>H12+H13</f>
        <v>7097797.5410000011</v>
      </c>
      <c r="I14" s="138">
        <f>I12+I13</f>
        <v>6410913.9080000008</v>
      </c>
    </row>
    <row r="15" spans="2:9" x14ac:dyDescent="0.45">
      <c r="B15" s="17" t="s">
        <v>689</v>
      </c>
      <c r="C15" s="38" t="s">
        <v>107</v>
      </c>
      <c r="E15" s="156">
        <f>IF(E14&gt;0,E11/E14,"n/a")</f>
        <v>-0.59246910489796667</v>
      </c>
      <c r="F15" s="156">
        <f>IF(F14&gt;0,F11/F14,"n/a")</f>
        <v>1.6116528019856233</v>
      </c>
      <c r="G15" s="156">
        <f>IF(G14&gt;0,G11/G14,"n/a")</f>
        <v>2.6779015461241387</v>
      </c>
      <c r="H15" s="156">
        <f>IF(H14&gt;0,H11/H14,"n/a")</f>
        <v>4.4456763570558602</v>
      </c>
      <c r="I15" s="156">
        <f>IF(I14&gt;0,I11/I14,"n/a")</f>
        <v>4.3025755453925507</v>
      </c>
    </row>
    <row r="16" spans="2:9" x14ac:dyDescent="0.45">
      <c r="B16" s="17" t="s">
        <v>690</v>
      </c>
      <c r="C16" s="38" t="s">
        <v>107</v>
      </c>
      <c r="E16" s="156">
        <f>IF(E12&gt;0,'Income Statement'!E31/E12,"n/a")</f>
        <v>-0.83957496130965481</v>
      </c>
      <c r="F16" s="156">
        <f>IF(F12&gt;0,'Income Statement'!F31/F12,"n/a")</f>
        <v>6.9198811030440552</v>
      </c>
      <c r="G16" s="156">
        <f>IF(G12&gt;0,'Income Statement'!G31/G12,"n/a")</f>
        <v>13.100556162158689</v>
      </c>
      <c r="H16" s="156">
        <f>IF(H12&gt;0,'Income Statement'!H31/H12,"n/a")</f>
        <v>29.510945530929476</v>
      </c>
      <c r="I16" s="156">
        <f>IF(I12&gt;0,'Income Statement'!I31/I12,"n/a")</f>
        <v>47.523083857720785</v>
      </c>
    </row>
    <row r="17" spans="2:9" x14ac:dyDescent="0.45">
      <c r="B17" s="17" t="s">
        <v>691</v>
      </c>
      <c r="C17" s="38" t="s">
        <v>107</v>
      </c>
      <c r="E17" s="156">
        <f>IF(E12&gt;0,E8/E12,"n/a")</f>
        <v>0.28830065004590061</v>
      </c>
      <c r="F17" s="156">
        <f>IF(F12&gt;0,F8/F12,"n/a")</f>
        <v>8.0477567143996112</v>
      </c>
      <c r="G17" s="156">
        <f>IF(G12&gt;0,G8/G12,"n/a")</f>
        <v>14.701447022226686</v>
      </c>
      <c r="H17" s="156">
        <f>IF(H12&gt;0,H8/H12,"n/a")</f>
        <v>31.912281821031467</v>
      </c>
      <c r="I17" s="156">
        <f>IF(I12&gt;0,I8/I12,"n/a")</f>
        <v>52.325756437924774</v>
      </c>
    </row>
    <row r="18" spans="2:9" x14ac:dyDescent="0.45">
      <c r="B18" s="32" t="s">
        <v>692</v>
      </c>
      <c r="C18" s="38" t="s">
        <v>107</v>
      </c>
      <c r="E18" s="156" t="str">
        <f>IF(E13&gt;0,E15,"")</f>
        <v/>
      </c>
      <c r="F18" s="156">
        <f>IF(F13&gt;0,F15,"")</f>
        <v>1.6116528019856233</v>
      </c>
      <c r="G18" s="156">
        <f>IF(G13&gt;0,G15,"")</f>
        <v>2.6779015461241387</v>
      </c>
      <c r="H18" s="156">
        <f>IF(H13&gt;0,H15,"")</f>
        <v>4.4456763570558602</v>
      </c>
      <c r="I18" s="156">
        <f>IF(I13&gt;0,I15,"")</f>
        <v>4.3025755453925507</v>
      </c>
    </row>
    <row r="19" spans="2:9" x14ac:dyDescent="0.45">
      <c r="B19" s="32" t="s">
        <v>693</v>
      </c>
      <c r="C19" s="38" t="s">
        <v>107</v>
      </c>
      <c r="E19" s="156" t="str">
        <f>IF(E13&gt;0,E16,"")</f>
        <v/>
      </c>
      <c r="F19" s="156">
        <f>IF(F13&gt;0,F16,"")</f>
        <v>6.9198811030440552</v>
      </c>
      <c r="G19" s="156">
        <f>IF(G13&gt;0,G16,"")</f>
        <v>13.100556162158689</v>
      </c>
      <c r="H19" s="156">
        <f>IF(H13&gt;0,H16,"")</f>
        <v>29.510945530929476</v>
      </c>
      <c r="I19" s="156">
        <f>IF(I13&gt;0,I16,"")</f>
        <v>47.523083857720785</v>
      </c>
    </row>
    <row r="20" spans="2:9" x14ac:dyDescent="0.45">
      <c r="B20" s="40" t="s">
        <v>694</v>
      </c>
    </row>
    <row r="22" spans="2:9" x14ac:dyDescent="0.45">
      <c r="B22" s="134" t="s">
        <v>695</v>
      </c>
      <c r="C22" s="135"/>
      <c r="D22" s="135"/>
      <c r="E22" s="135"/>
      <c r="F22" s="135"/>
      <c r="G22" s="135"/>
      <c r="H22" s="135"/>
      <c r="I22" s="135"/>
    </row>
    <row r="23" spans="2:9" x14ac:dyDescent="0.45">
      <c r="B23" s="17" t="s">
        <v>696</v>
      </c>
      <c r="C23" s="38" t="s">
        <v>149</v>
      </c>
      <c r="D23" s="136">
        <f>Funding!D29</f>
        <v>22896121.100000001</v>
      </c>
      <c r="E23" s="136">
        <f>Funding!E29</f>
        <v>22896121.100000001</v>
      </c>
      <c r="F23" s="136">
        <f>Funding!F29</f>
        <v>17172090.825000003</v>
      </c>
      <c r="G23" s="136">
        <f>Funding!G29</f>
        <v>11448060.550000003</v>
      </c>
      <c r="H23" s="136">
        <f>Funding!H29</f>
        <v>5724030.2750000022</v>
      </c>
      <c r="I23" s="136">
        <f>Funding!I29</f>
        <v>0</v>
      </c>
    </row>
    <row r="24" spans="2:9" x14ac:dyDescent="0.45">
      <c r="B24" s="17" t="s">
        <v>697</v>
      </c>
      <c r="C24" s="38" t="s">
        <v>107</v>
      </c>
      <c r="D24" s="156">
        <f>IFERROR(D23/'Balance Sheet'!D22,0)</f>
        <v>0.90441069016642084</v>
      </c>
      <c r="E24" s="156">
        <f>IFERROR(E23/'Balance Sheet'!E22,0)</f>
        <v>1.0078764970334544</v>
      </c>
      <c r="F24" s="156">
        <f>IFERROR(F23/'Balance Sheet'!F22,0)</f>
        <v>0.48073293606750178</v>
      </c>
      <c r="G24" s="156">
        <f>IFERROR(G23/'Balance Sheet'!G22,0)</f>
        <v>0.26653271886879853</v>
      </c>
      <c r="H24" s="156">
        <f>IFERROR(H23/'Balance Sheet'!H22,0)</f>
        <v>0.10539483505045016</v>
      </c>
      <c r="I24" s="156">
        <f>IFERROR(I23/'Balance Sheet'!I22,0)</f>
        <v>0</v>
      </c>
    </row>
    <row r="25" spans="2:9" x14ac:dyDescent="0.45">
      <c r="B25" s="17" t="s">
        <v>698</v>
      </c>
      <c r="C25" s="38" t="s">
        <v>107</v>
      </c>
      <c r="E25" s="156">
        <f>IF(E8&gt;0,E23/E8,"n/a")</f>
        <v>28.905010557577917</v>
      </c>
      <c r="F25" s="156">
        <f>IF(F8&gt;0,F23/F8,"n/a")</f>
        <v>0.77661393377076893</v>
      </c>
      <c r="G25" s="156">
        <f>IF(G8&gt;0,G23/G8,"n/a")</f>
        <v>0.37789175087025617</v>
      </c>
      <c r="H25" s="156">
        <f>IF(H8&gt;0,H23/H8,"n/a")</f>
        <v>0.13056624061024266</v>
      </c>
      <c r="I25" s="156">
        <f>IF(I8&gt;0,I23/I8,"n/a")</f>
        <v>0</v>
      </c>
    </row>
    <row r="26" spans="2:9" x14ac:dyDescent="0.45">
      <c r="B26" s="17" t="s">
        <v>699</v>
      </c>
      <c r="C26" s="38" t="s">
        <v>107</v>
      </c>
      <c r="D26" s="156">
        <f>IF(D23&gt;0,'FA Schedule'!D32/D23,"n/a")</f>
        <v>2</v>
      </c>
      <c r="E26" s="156">
        <f>IF(E23&gt;0,'FA Schedule'!E32/E23,"n/a")</f>
        <v>1.8646549266373331</v>
      </c>
      <c r="F26" s="156">
        <f>IF(F23&gt;0,'FA Schedule'!F32/F23,"n/a")</f>
        <v>2.5970913078955249</v>
      </c>
      <c r="G26" s="156">
        <f>IF(G23&gt;0,'FA Schedule'!G32/G23,"n/a")</f>
        <v>3.6074766070310473</v>
      </c>
      <c r="H26" s="156">
        <f>IF(H23&gt;0,'FA Schedule'!H32/H23,"n/a")</f>
        <v>6.6386325044376155</v>
      </c>
      <c r="I26" s="156" t="str">
        <f>IF(I23&gt;0,'FA Schedule'!I32/I23,"n/a")</f>
        <v>n/a</v>
      </c>
    </row>
    <row r="27" spans="2:9" x14ac:dyDescent="0.45">
      <c r="B27" s="17" t="s">
        <v>700</v>
      </c>
      <c r="C27" s="38" t="s">
        <v>149</v>
      </c>
      <c r="D27" s="139">
        <f>'FA Schedule'!D34*(1-Assumptions!$D$56)</f>
        <v>29759947.275000002</v>
      </c>
      <c r="E27" s="139">
        <f>'FA Schedule'!E34*(1-Assumptions!$D$56)</f>
        <v>29759947.275000002</v>
      </c>
      <c r="F27" s="139">
        <f>'FA Schedule'!F34*(1-Assumptions!$D$56)</f>
        <v>33512197.275000002</v>
      </c>
      <c r="G27" s="139">
        <f>'FA Schedule'!G34*(1-Assumptions!$D$56)</f>
        <v>33512197.275000002</v>
      </c>
      <c r="H27" s="139">
        <f>'FA Schedule'!H34*(1-Assumptions!$D$56)</f>
        <v>33512197.275000002</v>
      </c>
      <c r="I27" s="139">
        <f>'FA Schedule'!I34*(1-Assumptions!$D$56)</f>
        <v>33512197.275000002</v>
      </c>
    </row>
    <row r="28" spans="2:9" x14ac:dyDescent="0.45">
      <c r="B28" s="17" t="s">
        <v>701</v>
      </c>
      <c r="C28" s="38" t="s">
        <v>107</v>
      </c>
      <c r="D28" s="156">
        <f t="shared" ref="D28:I28" si="0">IF(D23&gt;0,D27/D23,"n/a")</f>
        <v>1.2997811788740059</v>
      </c>
      <c r="E28" s="156">
        <f t="shared" si="0"/>
        <v>1.2997811788740059</v>
      </c>
      <c r="F28" s="156">
        <f t="shared" si="0"/>
        <v>1.951550199478985</v>
      </c>
      <c r="G28" s="156">
        <f t="shared" si="0"/>
        <v>2.9273252992184773</v>
      </c>
      <c r="H28" s="156">
        <f t="shared" si="0"/>
        <v>5.8546505984369537</v>
      </c>
      <c r="I28" s="156" t="str">
        <f t="shared" si="0"/>
        <v>n/a</v>
      </c>
    </row>
    <row r="29" spans="2:9" x14ac:dyDescent="0.45">
      <c r="B29" s="17" t="s">
        <v>702</v>
      </c>
      <c r="C29" s="38" t="s">
        <v>107</v>
      </c>
      <c r="E29" s="156">
        <f>IFERROR(('Balance Sheet'!E9+'Balance Sheet'!E10+'Balance Sheet'!E11)/('Balance Sheet'!E15+Funding!F28),0)</f>
        <v>0.56441835650975203</v>
      </c>
      <c r="F29" s="156">
        <f>IFERROR(('Balance Sheet'!F9+'Balance Sheet'!F10+'Balance Sheet'!F11)/('Balance Sheet'!F15+Funding!G28),0)</f>
        <v>1.3392793569798191</v>
      </c>
      <c r="G29" s="156">
        <f>IFERROR(('Balance Sheet'!G9+'Balance Sheet'!G10+'Balance Sheet'!G11)/('Balance Sheet'!G15+Funding!H28),0)</f>
        <v>1.9028120813158242</v>
      </c>
      <c r="H29" s="156">
        <f>IFERROR(('Balance Sheet'!H9+'Balance Sheet'!H10+'Balance Sheet'!H11)/('Balance Sheet'!H15+Funding!I28),0)</f>
        <v>2.9744352011746651</v>
      </c>
      <c r="I29" s="156">
        <f>IFERROR(('Balance Sheet'!I9+'Balance Sheet'!I10+'Balance Sheet'!I11)/('Balance Sheet'!I15+0),0)</f>
        <v>11.975845791866069</v>
      </c>
    </row>
    <row r="30" spans="2:9" x14ac:dyDescent="0.45">
      <c r="B30" s="32" t="s">
        <v>703</v>
      </c>
      <c r="C30" s="38" t="s">
        <v>107</v>
      </c>
      <c r="E30" s="156" t="str">
        <f>IF(E13&gt;0,E29,"")</f>
        <v/>
      </c>
      <c r="F30" s="156">
        <f>IF(F13&gt;0,F29,"")</f>
        <v>1.3392793569798191</v>
      </c>
      <c r="G30" s="156">
        <f>IF(G13&gt;0,G29,"")</f>
        <v>1.9028120813158242</v>
      </c>
      <c r="H30" s="156">
        <f>IF(H13&gt;0,H29,"")</f>
        <v>2.9744352011746651</v>
      </c>
      <c r="I30" s="156">
        <f>IF(I13&gt;0,I29,"")</f>
        <v>11.975845791866069</v>
      </c>
    </row>
    <row r="31" spans="2:9" x14ac:dyDescent="0.45">
      <c r="B31" s="17" t="s">
        <v>704</v>
      </c>
      <c r="C31" s="38" t="s">
        <v>107</v>
      </c>
      <c r="E31" s="156">
        <f>NPV(Funding!E31,E11:I11)/D23</f>
        <v>2.619399919761253</v>
      </c>
    </row>
    <row r="33" spans="2:9" x14ac:dyDescent="0.45">
      <c r="B33" s="134" t="s">
        <v>705</v>
      </c>
      <c r="C33" s="135"/>
      <c r="D33" s="135"/>
      <c r="E33" s="135"/>
      <c r="F33" s="135"/>
      <c r="G33" s="135"/>
      <c r="H33" s="135"/>
      <c r="I33" s="135"/>
    </row>
    <row r="34" spans="2:9" x14ac:dyDescent="0.45">
      <c r="B34" s="43" t="s">
        <v>706</v>
      </c>
      <c r="D34" s="44" t="s">
        <v>707</v>
      </c>
      <c r="E34" s="44" t="s">
        <v>708</v>
      </c>
      <c r="F34" s="44" t="s">
        <v>709</v>
      </c>
    </row>
    <row r="35" spans="2:9" x14ac:dyDescent="0.45">
      <c r="B35" s="29" t="s">
        <v>710</v>
      </c>
      <c r="D35" s="28">
        <f>Assumptions!$D$50</f>
        <v>1.25</v>
      </c>
      <c r="E35" s="158">
        <f>MIN(E18:I18)</f>
        <v>1.6116528019856233</v>
      </c>
      <c r="F35" s="159" t="str">
        <f>IF(E35&gt;=D35+0.000001,"PASS","FAIL")</f>
        <v>PASS</v>
      </c>
    </row>
    <row r="36" spans="2:9" x14ac:dyDescent="0.45">
      <c r="B36" s="29" t="s">
        <v>711</v>
      </c>
      <c r="D36" s="28">
        <f>Assumptions!$D$50</f>
        <v>1.25</v>
      </c>
      <c r="E36" s="158">
        <f>AVERAGE(E18:I18)</f>
        <v>3.2594515626395433</v>
      </c>
      <c r="F36" s="159" t="str">
        <f>IF(E36&gt;=D36+0.000001,"PASS","FAIL")</f>
        <v>PASS</v>
      </c>
    </row>
    <row r="37" spans="2:9" x14ac:dyDescent="0.45">
      <c r="B37" s="29" t="s">
        <v>712</v>
      </c>
      <c r="D37" s="28">
        <f>Assumptions!$D$51</f>
        <v>2</v>
      </c>
      <c r="E37" s="158">
        <f>MIN(E19:I19)</f>
        <v>6.9198811030440552</v>
      </c>
      <c r="F37" s="159" t="str">
        <f>IF(E37&gt;=D37+0.000001,"PASS","FAIL")</f>
        <v>PASS</v>
      </c>
    </row>
    <row r="38" spans="2:9" x14ac:dyDescent="0.45">
      <c r="B38" s="29" t="s">
        <v>713</v>
      </c>
      <c r="D38" s="28">
        <f>Assumptions!$D$52</f>
        <v>2</v>
      </c>
      <c r="E38" s="158">
        <f>D24</f>
        <v>0.90441069016642084</v>
      </c>
      <c r="F38" s="159" t="str">
        <f>IF(E38&lt;=D38+0.000001,"PASS","FAIL")</f>
        <v>PASS</v>
      </c>
    </row>
    <row r="39" spans="2:9" x14ac:dyDescent="0.45">
      <c r="B39" s="29" t="s">
        <v>51</v>
      </c>
      <c r="D39" s="28">
        <f>Assumptions!$D$53</f>
        <v>1.25</v>
      </c>
      <c r="E39" s="158">
        <f>D28</f>
        <v>1.2997811788740059</v>
      </c>
      <c r="F39" s="159" t="str">
        <f>IF(E39&gt;=D39+0.000001,"PASS","FAIL")</f>
        <v>PASS</v>
      </c>
    </row>
    <row r="40" spans="2:9" x14ac:dyDescent="0.45">
      <c r="B40" s="29" t="s">
        <v>714</v>
      </c>
      <c r="D40" s="23">
        <f>Assumptions!$D$55</f>
        <v>0.3</v>
      </c>
      <c r="E40" s="46">
        <f>Funding!D20</f>
        <v>0.52509682137554736</v>
      </c>
      <c r="F40" s="159" t="str">
        <f>IF(E40&gt;=D40+0.000001,"PASS","FAIL")</f>
        <v>PASS</v>
      </c>
    </row>
    <row r="41" spans="2:9" x14ac:dyDescent="0.45">
      <c r="B41" s="29" t="s">
        <v>715</v>
      </c>
      <c r="D41" s="28">
        <f>Assumptions!$D$54</f>
        <v>1.2</v>
      </c>
      <c r="E41" s="158">
        <f>MIN(E30:I30)</f>
        <v>1.3392793569798191</v>
      </c>
      <c r="F41" s="159" t="str">
        <f>IF(E41&gt;=D41+0.000001,"PASS","FAIL")</f>
        <v>PASS</v>
      </c>
    </row>
    <row r="42" spans="2:9" x14ac:dyDescent="0.45">
      <c r="B42" s="29" t="s">
        <v>716</v>
      </c>
      <c r="D42" s="160">
        <v>0</v>
      </c>
      <c r="E42" s="161">
        <f>I23</f>
        <v>0</v>
      </c>
      <c r="F42" s="159" t="str">
        <f>IF(E42&lt;=D42+0.000001,"PASS","FAIL")</f>
        <v>PASS</v>
      </c>
    </row>
    <row r="43" spans="2:9" x14ac:dyDescent="0.45">
      <c r="B43" s="29" t="s">
        <v>717</v>
      </c>
      <c r="C43" s="38" t="s">
        <v>718</v>
      </c>
      <c r="D43" s="31">
        <f>COUNTIF(F35:F42,"PASS")</f>
        <v>8</v>
      </c>
      <c r="E43" s="31">
        <f>ROWS(F35:F42)</f>
        <v>8</v>
      </c>
    </row>
    <row r="44" spans="2:9" x14ac:dyDescent="0.45">
      <c r="B44" s="26" t="str">
        <f>IF(D43=E43,"Result: the project meets all 8 lending benchmarks in the "&amp;Assumptions!$D$11&amp;".","Result: "&amp;D43&amp;" of "&amp;E43&amp;" benchmarks met in the "&amp;Assumptions!$D$11&amp;". Review the FAIL lines before sanction.")</f>
        <v>Result: the project meets all 8 lending benchmarks in the Base case.</v>
      </c>
    </row>
    <row r="46" spans="2:9" x14ac:dyDescent="0.45">
      <c r="B46" s="134" t="s">
        <v>719</v>
      </c>
      <c r="C46" s="135"/>
      <c r="D46" s="135"/>
      <c r="E46" s="135"/>
      <c r="F46" s="135"/>
      <c r="G46" s="135"/>
      <c r="H46" s="135"/>
      <c r="I46" s="135"/>
    </row>
    <row r="47" spans="2:9" ht="27.75" customHeight="1" x14ac:dyDescent="0.45">
      <c r="B47" s="162" t="s">
        <v>720</v>
      </c>
      <c r="D47" s="186" t="str">
        <f>"Minimum Debt Service Coverage Ratio "&amp;TEXT(E35,"0.00")&amp;"x; average "&amp;TEXT(E36,"0.00")&amp;"x against a covenant of "&amp;TEXT(D35,"0.00")&amp;"x"</f>
        <v>Minimum Debt Service Coverage Ratio 1.61x; average 3.26x against a covenant of 1.25x</v>
      </c>
      <c r="E47" s="186"/>
      <c r="F47" s="186"/>
      <c r="G47" s="186"/>
      <c r="H47" s="186"/>
      <c r="I47" s="186"/>
    </row>
    <row r="48" spans="2:9" ht="27.75" customHeight="1" x14ac:dyDescent="0.45">
      <c r="B48" s="162" t="s">
        <v>721</v>
      </c>
      <c r="D48" s="186" t="str">
        <f>"Owner puts in "&amp;TEXT(E40,"0%")&amp;" of total uses (benchmark "&amp;TEXT(D40,"0%")&amp;")"</f>
        <v>Owner puts in 53% of total uses (benchmark 30%)</v>
      </c>
      <c r="E48" s="186"/>
      <c r="F48" s="186"/>
      <c r="G48" s="186"/>
      <c r="H48" s="186"/>
      <c r="I48" s="186"/>
    </row>
    <row r="49" spans="2:9" ht="27.75" customHeight="1" x14ac:dyDescent="0.45">
      <c r="B49" s="162" t="s">
        <v>722</v>
      </c>
      <c r="D49" s="186" t="str">
        <f>"Land, ponds and buildings after a "&amp;TEXT(Assumptions!$D$56,"0%")&amp;" discount cover the loan "&amp;TEXT(E39,"0.00")&amp;"x"</f>
        <v>Land, ponds and buildings after a 25% discount cover the loan 1.30x</v>
      </c>
      <c r="E49" s="186"/>
      <c r="F49" s="186"/>
      <c r="G49" s="186"/>
      <c r="H49" s="186"/>
      <c r="I49" s="186"/>
    </row>
    <row r="50" spans="2:9" ht="27.75" customHeight="1" x14ac:dyDescent="0.45">
      <c r="B50" s="162" t="s">
        <v>723</v>
      </c>
      <c r="D50" s="186" t="s">
        <v>724</v>
      </c>
      <c r="E50" s="186"/>
      <c r="F50" s="186"/>
      <c r="G50" s="186"/>
      <c r="H50" s="186"/>
      <c r="I50" s="186"/>
    </row>
    <row r="51" spans="2:9" ht="27.75" customHeight="1" x14ac:dyDescent="0.45">
      <c r="B51" s="162" t="s">
        <v>725</v>
      </c>
      <c r="D51" s="186" t="s">
        <v>726</v>
      </c>
      <c r="E51" s="186"/>
      <c r="F51" s="186"/>
      <c r="G51" s="186"/>
      <c r="H51" s="186"/>
      <c r="I51" s="186"/>
    </row>
  </sheetData>
  <mergeCells count="5">
    <mergeCell ref="D47:I47"/>
    <mergeCell ref="D48:I48"/>
    <mergeCell ref="D49:I49"/>
    <mergeCell ref="D50:I50"/>
    <mergeCell ref="D51:I51"/>
  </mergeCells>
  <conditionalFormatting sqref="F35:F42">
    <cfRule type="cellIs" dxfId="3" priority="2" operator="equal">
      <formula>"PASS"</formula>
    </cfRule>
    <cfRule type="cellIs" dxfId="2" priority="3" operator="equal">
      <formula>"FAIL"</formula>
    </cfRule>
  </conditionalFormatting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F7F7F"/>
    <pageSetUpPr fitToPage="1"/>
  </sheetPr>
  <dimension ref="B1:I36"/>
  <sheetViews>
    <sheetView showGridLines="0" zoomScaleNormal="100" workbookViewId="0">
      <pane xSplit="3" ySplit="5" topLeftCell="D24" activePane="bottomRight" state="frozen"/>
      <selection pane="topRight" activeCell="D1" sqref="D1"/>
      <selection pane="bottomLeft" activeCell="A6" sqref="A6"/>
      <selection pane="bottomRight" activeCell="A45" sqref="A45"/>
    </sheetView>
  </sheetViews>
  <sheetFormatPr defaultColWidth="8.6640625" defaultRowHeight="14.25" x14ac:dyDescent="0.45"/>
  <cols>
    <col min="1" max="1" width="2" customWidth="1"/>
    <col min="2" max="2" width="46" customWidth="1"/>
    <col min="3" max="3" width="11" customWidth="1"/>
    <col min="4" max="10" width="13" customWidth="1"/>
    <col min="11" max="11" width="60" customWidth="1"/>
  </cols>
  <sheetData>
    <row r="1" spans="2:9" ht="20.65" x14ac:dyDescent="0.6">
      <c r="B1" s="35" t="s">
        <v>727</v>
      </c>
    </row>
    <row r="2" spans="2:9" x14ac:dyDescent="0.45">
      <c r="B2" s="36" t="s">
        <v>728</v>
      </c>
    </row>
    <row r="3" spans="2:9" x14ac:dyDescent="0.45">
      <c r="B3" s="9" t="str">
        <f>"Scenario: "&amp;Assumptions!$D$11&amp;"   |   BDT '000 unless stated"</f>
        <v>Scenario: Base case   |   BDT '000 unless stated</v>
      </c>
    </row>
    <row r="4" spans="2:9" x14ac:dyDescent="0.45">
      <c r="B4" s="131" t="s">
        <v>370</v>
      </c>
      <c r="C4" s="132" t="s">
        <v>101</v>
      </c>
      <c r="D4" s="132" t="s">
        <v>371</v>
      </c>
      <c r="E4" s="132" t="str">
        <f>"FY"&amp;(Assumptions!$D$7+E5-1)&amp;"-"&amp;TEXT(MOD(Assumptions!$D$7+E5,100),"00")</f>
        <v>FY2026-27</v>
      </c>
      <c r="F4" s="132" t="str">
        <f>"FY"&amp;(Assumptions!$D$7+F5-1)&amp;"-"&amp;TEXT(MOD(Assumptions!$D$7+F5,100),"00")</f>
        <v>FY2027-28</v>
      </c>
      <c r="G4" s="132" t="str">
        <f>"FY"&amp;(Assumptions!$D$7+G5-1)&amp;"-"&amp;TEXT(MOD(Assumptions!$D$7+G5,100),"00")</f>
        <v>FY2028-29</v>
      </c>
      <c r="H4" s="132" t="str">
        <f>"FY"&amp;(Assumptions!$D$7+H5-1)&amp;"-"&amp;TEXT(MOD(Assumptions!$D$7+H5,100),"00")</f>
        <v>FY2029-30</v>
      </c>
      <c r="I4" s="132" t="str">
        <f>"FY"&amp;(Assumptions!$D$7+I5-1)&amp;"-"&amp;TEXT(MOD(Assumptions!$D$7+I5,100),"00")</f>
        <v>FY2030-31</v>
      </c>
    </row>
    <row r="5" spans="2:9" x14ac:dyDescent="0.45">
      <c r="B5" s="131"/>
      <c r="C5" s="132"/>
      <c r="D5" s="133">
        <v>0</v>
      </c>
      <c r="E5" s="133">
        <v>1</v>
      </c>
      <c r="F5" s="133">
        <v>2</v>
      </c>
      <c r="G5" s="133">
        <v>3</v>
      </c>
      <c r="H5" s="133">
        <v>4</v>
      </c>
      <c r="I5" s="133">
        <v>5</v>
      </c>
    </row>
    <row r="7" spans="2:9" x14ac:dyDescent="0.45">
      <c r="B7" s="134" t="s">
        <v>729</v>
      </c>
      <c r="C7" s="135"/>
      <c r="D7" s="135"/>
      <c r="E7" s="135"/>
      <c r="F7" s="135"/>
      <c r="G7" s="135"/>
      <c r="H7" s="135"/>
      <c r="I7" s="135"/>
    </row>
    <row r="8" spans="2:9" x14ac:dyDescent="0.45">
      <c r="B8" s="17" t="s">
        <v>13</v>
      </c>
      <c r="C8" s="38" t="s">
        <v>138</v>
      </c>
      <c r="E8" s="19">
        <f>'Income Statement'!E20</f>
        <v>0.28134652248337411</v>
      </c>
      <c r="F8" s="19">
        <f>'Income Statement'!F20</f>
        <v>0.54618905773515958</v>
      </c>
      <c r="G8" s="19">
        <f>'Income Statement'!G20</f>
        <v>0.55432669933996837</v>
      </c>
      <c r="H8" s="19">
        <f>'Income Statement'!H20</f>
        <v>0.62839606576573115</v>
      </c>
      <c r="I8" s="19">
        <f>'Income Statement'!I20</f>
        <v>0.576275967284123</v>
      </c>
    </row>
    <row r="9" spans="2:9" x14ac:dyDescent="0.45">
      <c r="B9" s="17" t="s">
        <v>18</v>
      </c>
      <c r="C9" s="38" t="s">
        <v>138</v>
      </c>
      <c r="E9" s="19">
        <f>'Income Statement'!E29</f>
        <v>6.5572515860857564E-2</v>
      </c>
      <c r="F9" s="19">
        <f>'Income Statement'!F29</f>
        <v>0.44474258516513893</v>
      </c>
      <c r="G9" s="19">
        <f>'Income Statement'!G29</f>
        <v>0.45343316678943441</v>
      </c>
      <c r="H9" s="19">
        <f>'Income Statement'!H29</f>
        <v>0.5278143820574599</v>
      </c>
      <c r="I9" s="19">
        <f>'Income Statement'!I29</f>
        <v>0.47577361564692955</v>
      </c>
    </row>
    <row r="10" spans="2:9" x14ac:dyDescent="0.45">
      <c r="B10" s="17" t="s">
        <v>730</v>
      </c>
      <c r="C10" s="38" t="s">
        <v>138</v>
      </c>
      <c r="E10" s="19">
        <f>IFERROR('Income Statement'!E31/'Income Statement'!E10,0)</f>
        <v>-0.19095705284775172</v>
      </c>
      <c r="F10" s="19">
        <f>IFERROR('Income Statement'!F31/'Income Statement'!F10,0)</f>
        <v>0.38241287852260858</v>
      </c>
      <c r="G10" s="19">
        <f>IFERROR('Income Statement'!G31/'Income Statement'!G10,0)</f>
        <v>0.40405727805770403</v>
      </c>
      <c r="H10" s="19">
        <f>IFERROR('Income Statement'!H31/'Income Statement'!H10,0)</f>
        <v>0.48809739042456984</v>
      </c>
      <c r="I10" s="19">
        <f>IFERROR('Income Statement'!I31/'Income Statement'!I10,0)</f>
        <v>0.43210516145147521</v>
      </c>
    </row>
    <row r="11" spans="2:9" x14ac:dyDescent="0.45">
      <c r="B11" s="17" t="s">
        <v>24</v>
      </c>
      <c r="C11" s="38" t="s">
        <v>138</v>
      </c>
      <c r="E11" s="19">
        <f>'Income Statement'!E36</f>
        <v>-0.41840196443715572</v>
      </c>
      <c r="F11" s="19">
        <f>'Income Statement'!F36</f>
        <v>0.2651402966545458</v>
      </c>
      <c r="G11" s="19">
        <f>'Income Statement'!G36</f>
        <v>0.2705805273360935</v>
      </c>
      <c r="H11" s="19">
        <f>'Income Statement'!H36</f>
        <v>0.34187944336649773</v>
      </c>
      <c r="I11" s="19">
        <f>'Income Statement'!I36</f>
        <v>0.3066841563410842</v>
      </c>
    </row>
    <row r="12" spans="2:9" x14ac:dyDescent="0.45">
      <c r="B12" s="17" t="s">
        <v>731</v>
      </c>
      <c r="C12" s="38" t="s">
        <v>138</v>
      </c>
      <c r="E12" s="19">
        <f>IFERROR('Income Statement'!E35/'Balance Sheet'!E22,0)</f>
        <v>-0.22248772416422724</v>
      </c>
      <c r="F12" s="19">
        <f>IFERROR('Income Statement'!F35/'Balance Sheet'!F22,0)</f>
        <v>0.36903343954481183</v>
      </c>
      <c r="G12" s="19">
        <f>IFERROR('Income Statement'!G35/'Balance Sheet'!G22,0)</f>
        <v>0.42088783445107969</v>
      </c>
      <c r="H12" s="19">
        <f>IFERROR('Income Statement'!H35/'Balance Sheet'!H22,0)</f>
        <v>0.52285371383745438</v>
      </c>
      <c r="I12" s="19">
        <f>IFERROR('Income Statement'!I35/'Balance Sheet'!I22,0)</f>
        <v>0.36440617223720467</v>
      </c>
    </row>
    <row r="13" spans="2:9" x14ac:dyDescent="0.45">
      <c r="B13" s="17" t="s">
        <v>732</v>
      </c>
      <c r="C13" s="38" t="s">
        <v>138</v>
      </c>
      <c r="E13" s="19">
        <f>IFERROR('Income Statement'!E31/('Balance Sheet'!E22+'Balance Sheet'!E16),0)</f>
        <v>-5.0572106735766467E-2</v>
      </c>
      <c r="F13" s="19">
        <f>IFERROR('Income Statement'!F31/('Balance Sheet'!F22+'Balance Sheet'!F16),0)</f>
        <v>0.35945601574735192</v>
      </c>
      <c r="G13" s="19">
        <f>IFERROR('Income Statement'!G31/('Balance Sheet'!G22+'Balance Sheet'!G16),0)</f>
        <v>0.49624524033472411</v>
      </c>
      <c r="H13" s="19">
        <f>IFERROR('Income Statement'!H31/('Balance Sheet'!H22+'Balance Sheet'!H16),0)</f>
        <v>0.67529924427913801</v>
      </c>
      <c r="I13" s="19">
        <f>IFERROR('Income Statement'!I31/('Balance Sheet'!I22+'Balance Sheet'!I16),0)</f>
        <v>0.51343306992796689</v>
      </c>
    </row>
    <row r="14" spans="2:9" x14ac:dyDescent="0.45">
      <c r="B14" s="17" t="s">
        <v>733</v>
      </c>
      <c r="C14" s="38" t="s">
        <v>138</v>
      </c>
      <c r="E14" s="19">
        <f>IFERROR('Income Statement'!E35/'Balance Sheet'!E12,0)</f>
        <v>-0.10910079827216204</v>
      </c>
      <c r="F14" s="19">
        <f>IFERROR('Income Statement'!F35/'Balance Sheet'!F12,0)</f>
        <v>0.24078160227745268</v>
      </c>
      <c r="G14" s="19">
        <f>IFERROR('Income Statement'!G35/'Balance Sheet'!G12,0)</f>
        <v>0.31800839212634779</v>
      </c>
      <c r="H14" s="19">
        <f>IFERROR('Income Statement'!H35/'Balance Sheet'!H12,0)</f>
        <v>0.45382451608999569</v>
      </c>
      <c r="I14" s="19">
        <f>IFERROR('Income Statement'!I35/'Balance Sheet'!I12,0)</f>
        <v>0.34992573246886394</v>
      </c>
    </row>
    <row r="16" spans="2:9" x14ac:dyDescent="0.45">
      <c r="B16" s="134" t="s">
        <v>734</v>
      </c>
      <c r="C16" s="135"/>
      <c r="D16" s="135"/>
      <c r="E16" s="135"/>
      <c r="F16" s="135"/>
      <c r="G16" s="135"/>
      <c r="H16" s="135"/>
      <c r="I16" s="135"/>
    </row>
    <row r="17" spans="2:9" x14ac:dyDescent="0.45">
      <c r="B17" s="17" t="s">
        <v>702</v>
      </c>
      <c r="C17" s="38" t="s">
        <v>107</v>
      </c>
      <c r="E17" s="28">
        <f>'Loan Analysis'!E29</f>
        <v>0.56441835650975203</v>
      </c>
      <c r="F17" s="28">
        <f>'Loan Analysis'!F29</f>
        <v>1.3392793569798191</v>
      </c>
      <c r="G17" s="28">
        <f>'Loan Analysis'!G29</f>
        <v>1.9028120813158242</v>
      </c>
      <c r="H17" s="28">
        <f>'Loan Analysis'!H29</f>
        <v>2.9744352011746651</v>
      </c>
      <c r="I17" s="28">
        <f>'Loan Analysis'!I29</f>
        <v>11.975845791866069</v>
      </c>
    </row>
    <row r="18" spans="2:9" x14ac:dyDescent="0.45">
      <c r="B18" s="17" t="s">
        <v>735</v>
      </c>
      <c r="C18" s="38" t="s">
        <v>107</v>
      </c>
      <c r="E18" s="156">
        <f>IFERROR(('Balance Sheet'!E9+'Balance Sheet'!E11)/('Balance Sheet'!E15+Funding!F28),0)</f>
        <v>0.23190085232674684</v>
      </c>
      <c r="F18" s="156">
        <f>IFERROR(('Balance Sheet'!F9+'Balance Sheet'!F11)/('Balance Sheet'!F15+Funding!G28),0)</f>
        <v>0.60518417109657663</v>
      </c>
      <c r="G18" s="156">
        <f>IFERROR(('Balance Sheet'!G9+'Balance Sheet'!G11)/('Balance Sheet'!G15+Funding!H28),0)</f>
        <v>1.0043039357402697</v>
      </c>
      <c r="H18" s="156">
        <f>IFERROR(('Balance Sheet'!H9+'Balance Sheet'!H11)/('Balance Sheet'!H15+Funding!I28),0)</f>
        <v>2.053153840936762</v>
      </c>
      <c r="I18" s="156">
        <f>IFERROR(('Balance Sheet'!I9+'Balance Sheet'!I11)/('Balance Sheet'!I15+0),0)</f>
        <v>8.9758457918660692</v>
      </c>
    </row>
    <row r="19" spans="2:9" x14ac:dyDescent="0.45">
      <c r="B19" s="17" t="s">
        <v>736</v>
      </c>
      <c r="C19" s="38" t="s">
        <v>149</v>
      </c>
      <c r="E19" s="136">
        <f>'Balance Sheet'!E11</f>
        <v>500000</v>
      </c>
      <c r="F19" s="136">
        <f>'Balance Sheet'!F11</f>
        <v>500000</v>
      </c>
      <c r="G19" s="136">
        <f>'Balance Sheet'!G11</f>
        <v>2715194.0366688203</v>
      </c>
      <c r="H19" s="136">
        <f>'Balance Sheet'!H11</f>
        <v>10134086.604363294</v>
      </c>
      <c r="I19" s="136">
        <f>'Balance Sheet'!I11</f>
        <v>17405778.087069698</v>
      </c>
    </row>
    <row r="21" spans="2:9" x14ac:dyDescent="0.45">
      <c r="B21" s="134" t="s">
        <v>737</v>
      </c>
      <c r="C21" s="135"/>
      <c r="D21" s="135"/>
      <c r="E21" s="135"/>
      <c r="F21" s="135"/>
      <c r="G21" s="135"/>
      <c r="H21" s="135"/>
      <c r="I21" s="135"/>
    </row>
    <row r="22" spans="2:9" x14ac:dyDescent="0.45">
      <c r="B22" s="17" t="s">
        <v>697</v>
      </c>
      <c r="C22" s="38" t="s">
        <v>107</v>
      </c>
      <c r="D22" s="28">
        <f>'Loan Analysis'!D24</f>
        <v>0.90441069016642084</v>
      </c>
      <c r="E22" s="28">
        <f>'Loan Analysis'!E24</f>
        <v>1.0078764970334544</v>
      </c>
      <c r="F22" s="28">
        <f>'Loan Analysis'!F24</f>
        <v>0.48073293606750178</v>
      </c>
      <c r="G22" s="28">
        <f>'Loan Analysis'!G24</f>
        <v>0.26653271886879853</v>
      </c>
      <c r="H22" s="28">
        <f>'Loan Analysis'!H24</f>
        <v>0.10539483505045016</v>
      </c>
      <c r="I22" s="28">
        <f>'Loan Analysis'!I24</f>
        <v>0</v>
      </c>
    </row>
    <row r="23" spans="2:9" x14ac:dyDescent="0.45">
      <c r="B23" s="17" t="s">
        <v>698</v>
      </c>
      <c r="C23" s="38" t="s">
        <v>107</v>
      </c>
      <c r="E23" s="28">
        <f>'Loan Analysis'!E25</f>
        <v>28.905010557577917</v>
      </c>
      <c r="F23" s="28">
        <f>'Loan Analysis'!F25</f>
        <v>0.77661393377076893</v>
      </c>
      <c r="G23" s="28">
        <f>'Loan Analysis'!G25</f>
        <v>0.37789175087025617</v>
      </c>
      <c r="H23" s="28">
        <f>'Loan Analysis'!H25</f>
        <v>0.13056624061024266</v>
      </c>
      <c r="I23" s="28">
        <f>'Loan Analysis'!I25</f>
        <v>0</v>
      </c>
    </row>
    <row r="24" spans="2:9" x14ac:dyDescent="0.45">
      <c r="B24" s="17" t="s">
        <v>738</v>
      </c>
      <c r="C24" s="38" t="s">
        <v>107</v>
      </c>
      <c r="D24" s="156">
        <f>IFERROR('Balance Sheet'!D17/'Balance Sheet'!D22,0)</f>
        <v>0.90441069016642084</v>
      </c>
      <c r="E24" s="156">
        <f>IFERROR('Balance Sheet'!E17/'Balance Sheet'!E22,0)</f>
        <v>1.0392859418792797</v>
      </c>
      <c r="F24" s="156">
        <f>IFERROR('Balance Sheet'!F17/'Balance Sheet'!F22,0)</f>
        <v>0.53264799326143941</v>
      </c>
      <c r="G24" s="156">
        <f>IFERROR('Balance Sheet'!G17/'Balance Sheet'!G22,0)</f>
        <v>0.32351172130028877</v>
      </c>
      <c r="H24" s="156">
        <f>IFERROR('Balance Sheet'!H17/'Balance Sheet'!H22,0)</f>
        <v>0.15210548416862074</v>
      </c>
      <c r="I24" s="156">
        <f>IFERROR('Balance Sheet'!I17/'Balance Sheet'!I22,0)</f>
        <v>4.1381465907567173E-2</v>
      </c>
    </row>
    <row r="25" spans="2:9" x14ac:dyDescent="0.45">
      <c r="B25" s="17" t="s">
        <v>739</v>
      </c>
      <c r="C25" s="38" t="s">
        <v>138</v>
      </c>
      <c r="D25" s="19">
        <f>IFERROR('Balance Sheet'!D22/'Balance Sheet'!D12,0)</f>
        <v>0.52509682137554736</v>
      </c>
      <c r="E25" s="19">
        <f>IFERROR('Balance Sheet'!E22/'Balance Sheet'!E12,0)</f>
        <v>0.4903677211046048</v>
      </c>
      <c r="F25" s="19">
        <f>IFERROR('Balance Sheet'!F22/'Balance Sheet'!F12,0)</f>
        <v>0.65246553963902909</v>
      </c>
      <c r="G25" s="19">
        <f>IFERROR('Balance Sheet'!G22/'Balance Sheet'!G12,0)</f>
        <v>0.75556565454331348</v>
      </c>
      <c r="H25" s="19">
        <f>IFERROR('Balance Sheet'!H22/'Balance Sheet'!H12,0)</f>
        <v>0.86797607835502799</v>
      </c>
      <c r="I25" s="19">
        <f>IFERROR('Balance Sheet'!I22/'Balance Sheet'!I12,0)</f>
        <v>0.96026291300325484</v>
      </c>
    </row>
    <row r="27" spans="2:9" x14ac:dyDescent="0.45">
      <c r="B27" s="134" t="s">
        <v>740</v>
      </c>
      <c r="C27" s="135"/>
      <c r="D27" s="135"/>
      <c r="E27" s="135"/>
      <c r="F27" s="135"/>
      <c r="G27" s="135"/>
      <c r="H27" s="135"/>
      <c r="I27" s="135"/>
    </row>
    <row r="28" spans="2:9" x14ac:dyDescent="0.45">
      <c r="B28" s="17" t="s">
        <v>690</v>
      </c>
      <c r="C28" s="38" t="s">
        <v>107</v>
      </c>
      <c r="E28" s="28">
        <f>'Loan Analysis'!E16</f>
        <v>-0.83957496130965481</v>
      </c>
      <c r="F28" s="28">
        <f>'Loan Analysis'!F16</f>
        <v>6.9198811030440552</v>
      </c>
      <c r="G28" s="28">
        <f>'Loan Analysis'!G16</f>
        <v>13.100556162158689</v>
      </c>
      <c r="H28" s="28">
        <f>'Loan Analysis'!H16</f>
        <v>29.510945530929476</v>
      </c>
      <c r="I28" s="28">
        <f>'Loan Analysis'!I16</f>
        <v>47.523083857720785</v>
      </c>
    </row>
    <row r="29" spans="2:9" x14ac:dyDescent="0.45">
      <c r="B29" s="17" t="s">
        <v>741</v>
      </c>
      <c r="C29" s="38" t="s">
        <v>107</v>
      </c>
      <c r="E29" s="28">
        <f>'Loan Analysis'!E15</f>
        <v>-0.59246910489796667</v>
      </c>
      <c r="F29" s="28">
        <f>'Loan Analysis'!F15</f>
        <v>1.6116528019856233</v>
      </c>
      <c r="G29" s="28">
        <f>'Loan Analysis'!G15</f>
        <v>2.6779015461241387</v>
      </c>
      <c r="H29" s="28">
        <f>'Loan Analysis'!H15</f>
        <v>4.4456763570558602</v>
      </c>
      <c r="I29" s="28">
        <f>'Loan Analysis'!I15</f>
        <v>4.3025755453925507</v>
      </c>
    </row>
    <row r="31" spans="2:9" x14ac:dyDescent="0.45">
      <c r="B31" s="134" t="s">
        <v>742</v>
      </c>
      <c r="C31" s="135"/>
      <c r="D31" s="135"/>
      <c r="E31" s="135"/>
      <c r="F31" s="135"/>
      <c r="G31" s="135"/>
      <c r="H31" s="135"/>
      <c r="I31" s="135"/>
    </row>
    <row r="32" spans="2:9" x14ac:dyDescent="0.45">
      <c r="B32" s="17" t="s">
        <v>743</v>
      </c>
      <c r="C32" s="38" t="s">
        <v>107</v>
      </c>
      <c r="E32" s="156">
        <f>IFERROR('Income Statement'!E10/'Balance Sheet'!E12,0)</f>
        <v>0.26075594176267081</v>
      </c>
      <c r="F32" s="156">
        <f>IFERROR('Income Statement'!F10/'Balance Sheet'!F12,0)</f>
        <v>0.90812903702514014</v>
      </c>
      <c r="G32" s="156">
        <f>IFERROR('Income Statement'!G10/'Balance Sheet'!G12,0)</f>
        <v>1.175281884683975</v>
      </c>
      <c r="H32" s="156">
        <f>IFERROR('Income Statement'!H10/'Balance Sheet'!H12,0)</f>
        <v>1.327440198279169</v>
      </c>
      <c r="I32" s="156">
        <f>IFERROR('Income Statement'!I10/'Balance Sheet'!I12,0)</f>
        <v>1.1409970982644695</v>
      </c>
    </row>
    <row r="33" spans="2:9" x14ac:dyDescent="0.45">
      <c r="B33" s="17" t="s">
        <v>744</v>
      </c>
      <c r="C33" s="38" t="s">
        <v>107</v>
      </c>
      <c r="E33" s="156">
        <f>IFERROR('Income Statement'!E10/'Balance Sheet'!E8,0)</f>
        <v>0.28294794746608803</v>
      </c>
      <c r="F33" s="156">
        <f>IFERROR('Income Statement'!F10/'Balance Sheet'!F8,0)</f>
        <v>1.1148049459795784</v>
      </c>
      <c r="G33" s="156">
        <f>IFERROR('Income Statement'!G10/'Balance Sheet'!G8,0)</f>
        <v>1.6177662875531948</v>
      </c>
      <c r="H33" s="156">
        <f>IFERROR('Income Statement'!H10/'Balance Sheet'!H8,0)</f>
        <v>2.1857941156652494</v>
      </c>
      <c r="I33" s="156">
        <f>IFERROR('Income Statement'!I10/'Balance Sheet'!I8,0)</f>
        <v>2.1769985412823933</v>
      </c>
    </row>
    <row r="34" spans="2:9" x14ac:dyDescent="0.45">
      <c r="B34" s="17" t="s">
        <v>745</v>
      </c>
      <c r="C34" s="38" t="s">
        <v>492</v>
      </c>
      <c r="E34" s="163">
        <f>'Working Capital'!E24</f>
        <v>90</v>
      </c>
      <c r="F34" s="163">
        <f>'Working Capital'!F24</f>
        <v>90</v>
      </c>
      <c r="G34" s="163">
        <f>'Working Capital'!G24</f>
        <v>90</v>
      </c>
      <c r="H34" s="163">
        <f>'Working Capital'!H24</f>
        <v>90</v>
      </c>
      <c r="I34" s="163">
        <f>'Working Capital'!I24</f>
        <v>90</v>
      </c>
    </row>
    <row r="35" spans="2:9" x14ac:dyDescent="0.45">
      <c r="B35" s="17" t="s">
        <v>7</v>
      </c>
      <c r="C35" s="38" t="s">
        <v>138</v>
      </c>
      <c r="F35" s="23">
        <f>'Income Statement'!F11</f>
        <v>3.1156870860927155</v>
      </c>
      <c r="G35" s="23">
        <f>'Income Statement'!G11</f>
        <v>0.34382259767687429</v>
      </c>
      <c r="H35" s="23">
        <f>'Income Statement'!H11</f>
        <v>0.24319306930693063</v>
      </c>
      <c r="I35" s="23">
        <f>'Income Statement'!I11</f>
        <v>-9.0487804878048639E-2</v>
      </c>
    </row>
    <row r="36" spans="2:9" x14ac:dyDescent="0.45">
      <c r="B36" s="17" t="s">
        <v>746</v>
      </c>
      <c r="C36" s="38" t="s">
        <v>138</v>
      </c>
      <c r="F36" s="19">
        <f>IFERROR('Income Statement'!F28/'Income Statement'!E28-1,0)</f>
        <v>26.914459135344721</v>
      </c>
      <c r="G36" s="19">
        <f>IFERROR('Income Statement'!G28/'Income Statement'!F28-1,0)</f>
        <v>0.37008183248648274</v>
      </c>
      <c r="H36" s="19">
        <f>IFERROR('Income Statement'!H28/'Income Statement'!G28-1,0)</f>
        <v>0.44712656619375535</v>
      </c>
      <c r="I36" s="19">
        <f>IFERROR('Income Statement'!I28/'Income Statement'!H28-1,0)</f>
        <v>-0.18016272337755523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B1:H58"/>
  <sheetViews>
    <sheetView showGridLines="0" topLeftCell="A38" zoomScaleNormal="100" workbookViewId="0">
      <selection activeCell="A55" sqref="A55"/>
    </sheetView>
  </sheetViews>
  <sheetFormatPr defaultColWidth="8.6640625" defaultRowHeight="14.25" x14ac:dyDescent="0.45"/>
  <cols>
    <col min="1" max="1" width="2" customWidth="1"/>
    <col min="2" max="2" width="44" customWidth="1"/>
    <col min="3" max="7" width="16" customWidth="1"/>
    <col min="8" max="8" width="50" customWidth="1"/>
    <col min="9" max="10" width="13" customWidth="1"/>
    <col min="11" max="11" width="60" customWidth="1"/>
  </cols>
  <sheetData>
    <row r="1" spans="2:6" ht="20.65" x14ac:dyDescent="0.6">
      <c r="B1" s="35" t="s">
        <v>79</v>
      </c>
    </row>
    <row r="2" spans="2:6" x14ac:dyDescent="0.45">
      <c r="B2" s="36" t="s">
        <v>747</v>
      </c>
    </row>
    <row r="3" spans="2:6" x14ac:dyDescent="0.45">
      <c r="B3" s="9" t="str">
        <f>"Active scenario: "&amp;Assumptions!$D$11</f>
        <v>Active scenario: Base case</v>
      </c>
    </row>
    <row r="5" spans="2:6" ht="26.25" x14ac:dyDescent="0.45">
      <c r="B5" s="164" t="s">
        <v>709</v>
      </c>
      <c r="C5" s="96" t="s">
        <v>748</v>
      </c>
      <c r="D5" s="96" t="s">
        <v>749</v>
      </c>
      <c r="E5" s="96" t="s">
        <v>750</v>
      </c>
      <c r="F5" s="96" t="s">
        <v>751</v>
      </c>
    </row>
    <row r="6" spans="2:6" x14ac:dyDescent="0.45">
      <c r="B6" s="29" t="s">
        <v>752</v>
      </c>
      <c r="C6" s="139">
        <v>3093766.9742781799</v>
      </c>
      <c r="D6" s="139">
        <v>-21790955.611150701</v>
      </c>
      <c r="E6" s="139">
        <v>11134817.3550031</v>
      </c>
      <c r="F6" s="165">
        <f>'Investment Analysis'!D38</f>
        <v>3093766.9742781669</v>
      </c>
    </row>
    <row r="7" spans="2:6" x14ac:dyDescent="0.45">
      <c r="B7" s="29" t="s">
        <v>753</v>
      </c>
      <c r="C7" s="139">
        <v>30651568.897914</v>
      </c>
      <c r="D7" s="139">
        <v>6114245.1448577903</v>
      </c>
      <c r="E7" s="139">
        <v>38758948.398207098</v>
      </c>
      <c r="F7" s="165">
        <f>'Investment Analysis'!D44</f>
        <v>30651568.897914022</v>
      </c>
    </row>
    <row r="8" spans="2:6" x14ac:dyDescent="0.45">
      <c r="B8" s="29" t="s">
        <v>754</v>
      </c>
      <c r="C8" s="19">
        <v>0.293332056761614</v>
      </c>
      <c r="D8" s="19">
        <v>0.175358168190383</v>
      </c>
      <c r="E8" s="19">
        <v>0.329885601118723</v>
      </c>
      <c r="F8" s="24">
        <f>'Investment Analysis'!D45</f>
        <v>0.29333205676161977</v>
      </c>
    </row>
    <row r="9" spans="2:6" x14ac:dyDescent="0.45">
      <c r="B9" s="29" t="s">
        <v>755</v>
      </c>
      <c r="C9" s="157">
        <v>3.66188552906626</v>
      </c>
      <c r="D9" s="157" t="s">
        <v>756</v>
      </c>
      <c r="E9" s="157">
        <v>3.4242946379799002</v>
      </c>
      <c r="F9" s="166">
        <f>'Investment Analysis'!D42</f>
        <v>3.66188552906626</v>
      </c>
    </row>
    <row r="10" spans="2:6" x14ac:dyDescent="0.45">
      <c r="B10" s="29" t="s">
        <v>46</v>
      </c>
      <c r="C10" s="156">
        <v>1.61165280198562</v>
      </c>
      <c r="D10" s="156">
        <v>0.91878092712454196</v>
      </c>
      <c r="E10" s="156">
        <v>1.84226616618248</v>
      </c>
      <c r="F10" s="167">
        <f>'Loan Analysis'!E35</f>
        <v>1.6116528019856233</v>
      </c>
    </row>
    <row r="11" spans="2:6" x14ac:dyDescent="0.45">
      <c r="B11" s="29" t="s">
        <v>48</v>
      </c>
      <c r="C11" s="156">
        <v>3.2594515626395402</v>
      </c>
      <c r="D11" s="156">
        <v>1.9266266342841101</v>
      </c>
      <c r="E11" s="156">
        <v>3.6662716951805798</v>
      </c>
      <c r="F11" s="167">
        <f>'Loan Analysis'!E36</f>
        <v>3.2594515626395433</v>
      </c>
    </row>
    <row r="12" spans="2:6" x14ac:dyDescent="0.45">
      <c r="B12" s="29" t="s">
        <v>49</v>
      </c>
      <c r="C12" s="156">
        <v>6.9198811030440597</v>
      </c>
      <c r="D12" s="156">
        <v>2.8635119449543098</v>
      </c>
      <c r="E12" s="156">
        <v>8.0499346073552491</v>
      </c>
      <c r="F12" s="167">
        <f>'Loan Analysis'!E37</f>
        <v>6.9198811030440552</v>
      </c>
    </row>
    <row r="13" spans="2:6" x14ac:dyDescent="0.45">
      <c r="B13" s="29" t="s">
        <v>757</v>
      </c>
      <c r="C13" s="31">
        <v>8</v>
      </c>
      <c r="D13" s="31">
        <v>6</v>
      </c>
      <c r="E13" s="31">
        <v>8</v>
      </c>
      <c r="F13" s="168">
        <f>'Loan Analysis'!D43</f>
        <v>8</v>
      </c>
    </row>
    <row r="14" spans="2:6" x14ac:dyDescent="0.45">
      <c r="B14" s="29" t="s">
        <v>758</v>
      </c>
      <c r="C14" s="139">
        <v>27771484.956850301</v>
      </c>
      <c r="D14" s="139">
        <v>37218739.457087703</v>
      </c>
      <c r="E14" s="139">
        <v>26963712.9426626</v>
      </c>
      <c r="F14" s="165">
        <f>'Owner Returns'!D29</f>
        <v>27771484.956850294</v>
      </c>
    </row>
    <row r="15" spans="2:6" x14ac:dyDescent="0.45">
      <c r="B15" s="29" t="s">
        <v>759</v>
      </c>
      <c r="C15" s="139">
        <v>41964047.512643397</v>
      </c>
      <c r="D15" s="139">
        <v>22516528.875702702</v>
      </c>
      <c r="E15" s="139">
        <v>49835697.846422702</v>
      </c>
      <c r="F15" s="165">
        <f>'Owner Returns'!D30</f>
        <v>41964047.512643442</v>
      </c>
    </row>
    <row r="16" spans="2:6" x14ac:dyDescent="0.45">
      <c r="B16" s="29" t="s">
        <v>760</v>
      </c>
      <c r="C16" s="139">
        <v>500000</v>
      </c>
      <c r="D16" s="139">
        <v>500000</v>
      </c>
      <c r="E16" s="139">
        <v>500000</v>
      </c>
      <c r="F16" s="165">
        <f>MIN('Balance Sheet'!D11:I11)</f>
        <v>500000</v>
      </c>
    </row>
    <row r="17" spans="2:7" x14ac:dyDescent="0.45">
      <c r="B17" s="162" t="s">
        <v>761</v>
      </c>
    </row>
    <row r="18" spans="2:7" x14ac:dyDescent="0.45">
      <c r="B18" s="169" t="s">
        <v>762</v>
      </c>
      <c r="C18" s="170">
        <f>Assumptions!D14</f>
        <v>1</v>
      </c>
      <c r="D18" s="170">
        <f>Assumptions!E14</f>
        <v>0.9</v>
      </c>
      <c r="E18" s="170">
        <f>Assumptions!F14</f>
        <v>1.05</v>
      </c>
    </row>
    <row r="19" spans="2:7" x14ac:dyDescent="0.45">
      <c r="B19" s="169" t="s">
        <v>763</v>
      </c>
      <c r="C19" s="170">
        <f>Assumptions!D15</f>
        <v>1</v>
      </c>
      <c r="D19" s="170">
        <f>Assumptions!E15</f>
        <v>0.85</v>
      </c>
      <c r="E19" s="170">
        <f>Assumptions!F15</f>
        <v>1</v>
      </c>
    </row>
    <row r="20" spans="2:7" x14ac:dyDescent="0.45">
      <c r="B20" s="169" t="s">
        <v>764</v>
      </c>
      <c r="C20" s="170">
        <f>Assumptions!D16</f>
        <v>1</v>
      </c>
      <c r="D20" s="170">
        <f>Assumptions!E16</f>
        <v>1.1000000000000001</v>
      </c>
      <c r="E20" s="170">
        <f>Assumptions!F16</f>
        <v>0.95</v>
      </c>
    </row>
    <row r="21" spans="2:7" x14ac:dyDescent="0.45">
      <c r="B21" s="169" t="s">
        <v>765</v>
      </c>
      <c r="C21" s="170">
        <f>Assumptions!D17</f>
        <v>1</v>
      </c>
      <c r="D21" s="170">
        <f>Assumptions!E17</f>
        <v>1.1000000000000001</v>
      </c>
      <c r="E21" s="170">
        <f>Assumptions!F17</f>
        <v>1</v>
      </c>
    </row>
    <row r="22" spans="2:7" x14ac:dyDescent="0.45">
      <c r="B22" s="169" t="s">
        <v>766</v>
      </c>
      <c r="C22" s="170">
        <f>Assumptions!D18</f>
        <v>0</v>
      </c>
      <c r="D22" s="170">
        <f>Assumptions!E18</f>
        <v>0.02</v>
      </c>
      <c r="E22" s="170">
        <f>Assumptions!F18</f>
        <v>0</v>
      </c>
    </row>
    <row r="23" spans="2:7" x14ac:dyDescent="0.45">
      <c r="B23" s="40" t="s">
        <v>767</v>
      </c>
    </row>
    <row r="25" spans="2:7" ht="15.4" x14ac:dyDescent="0.45">
      <c r="B25" s="94" t="s">
        <v>768</v>
      </c>
    </row>
    <row r="26" spans="2:7" x14ac:dyDescent="0.45">
      <c r="B26" s="164" t="s">
        <v>149</v>
      </c>
      <c r="C26" s="96" t="s">
        <v>124</v>
      </c>
      <c r="D26" s="96" t="s">
        <v>769</v>
      </c>
      <c r="E26" s="96" t="s">
        <v>770</v>
      </c>
      <c r="F26" s="96" t="s">
        <v>771</v>
      </c>
      <c r="G26" s="96" t="s">
        <v>126</v>
      </c>
    </row>
    <row r="27" spans="2:7" x14ac:dyDescent="0.45">
      <c r="B27" s="29" t="s">
        <v>748</v>
      </c>
      <c r="C27" s="139">
        <v>12080000</v>
      </c>
      <c r="D27" s="139">
        <v>49717500</v>
      </c>
      <c r="E27" s="139">
        <v>66811500</v>
      </c>
      <c r="F27" s="139">
        <v>83059593.75</v>
      </c>
      <c r="G27" s="139">
        <v>75543713.4375</v>
      </c>
    </row>
    <row r="28" spans="2:7" x14ac:dyDescent="0.45">
      <c r="B28" s="29" t="s">
        <v>749</v>
      </c>
      <c r="C28" s="139">
        <v>9241200</v>
      </c>
      <c r="D28" s="139">
        <v>38033887.5</v>
      </c>
      <c r="E28" s="139">
        <v>51110797.5</v>
      </c>
      <c r="F28" s="139">
        <v>63540589.21875</v>
      </c>
      <c r="G28" s="139">
        <v>57790940.779687501</v>
      </c>
    </row>
    <row r="29" spans="2:7" x14ac:dyDescent="0.45">
      <c r="B29" s="29" t="s">
        <v>750</v>
      </c>
      <c r="C29" s="139">
        <v>12684000</v>
      </c>
      <c r="D29" s="139">
        <v>52203375</v>
      </c>
      <c r="E29" s="139">
        <v>70152075</v>
      </c>
      <c r="F29" s="139">
        <v>87212573.4375</v>
      </c>
      <c r="G29" s="139">
        <v>79320899.109375</v>
      </c>
    </row>
    <row r="30" spans="2:7" x14ac:dyDescent="0.45">
      <c r="B30" s="171" t="s">
        <v>751</v>
      </c>
      <c r="C30" s="165">
        <f>'Income Statement'!E10</f>
        <v>12080000</v>
      </c>
      <c r="D30" s="165">
        <f>'Income Statement'!F10</f>
        <v>49717500</v>
      </c>
      <c r="E30" s="165">
        <f>'Income Statement'!G10</f>
        <v>66811500</v>
      </c>
      <c r="F30" s="165">
        <f>'Income Statement'!H10</f>
        <v>83059593.75</v>
      </c>
      <c r="G30" s="165">
        <f>'Income Statement'!I10</f>
        <v>75543713.437500015</v>
      </c>
    </row>
    <row r="31" spans="2:7" x14ac:dyDescent="0.45">
      <c r="B31" s="40" t="s">
        <v>772</v>
      </c>
    </row>
    <row r="32" spans="2:7" ht="15.4" x14ac:dyDescent="0.45">
      <c r="B32" s="94" t="s">
        <v>773</v>
      </c>
    </row>
    <row r="33" spans="2:8" x14ac:dyDescent="0.45">
      <c r="B33" s="164" t="s">
        <v>149</v>
      </c>
      <c r="C33" s="96" t="s">
        <v>124</v>
      </c>
      <c r="D33" s="96" t="s">
        <v>769</v>
      </c>
      <c r="E33" s="96" t="s">
        <v>770</v>
      </c>
      <c r="F33" s="96" t="s">
        <v>771</v>
      </c>
      <c r="G33" s="96" t="s">
        <v>126</v>
      </c>
    </row>
    <row r="34" spans="2:8" x14ac:dyDescent="0.45">
      <c r="B34" s="29" t="s">
        <v>748</v>
      </c>
      <c r="C34" s="139">
        <v>792115.99159915897</v>
      </c>
      <c r="D34" s="139">
        <v>22111489.477947801</v>
      </c>
      <c r="E34" s="139">
        <v>30294550.0229523</v>
      </c>
      <c r="F34" s="139">
        <v>43840048.149099901</v>
      </c>
      <c r="G34" s="139">
        <v>35941705.681554899</v>
      </c>
    </row>
    <row r="35" spans="2:8" x14ac:dyDescent="0.45">
      <c r="B35" s="29" t="s">
        <v>749</v>
      </c>
      <c r="C35" s="139">
        <v>-962191.04785478604</v>
      </c>
      <c r="D35" s="139">
        <v>13163152.561881199</v>
      </c>
      <c r="E35" s="139">
        <v>18404326.478960399</v>
      </c>
      <c r="F35" s="139">
        <v>28565427.962283399</v>
      </c>
      <c r="G35" s="139">
        <v>22311491.100397602</v>
      </c>
    </row>
    <row r="36" spans="2:8" x14ac:dyDescent="0.45">
      <c r="B36" s="29" t="s">
        <v>750</v>
      </c>
      <c r="C36" s="139">
        <v>1607120.1920192</v>
      </c>
      <c r="D36" s="139">
        <v>25216350.5040504</v>
      </c>
      <c r="E36" s="139">
        <v>34398900.421804696</v>
      </c>
      <c r="F36" s="139">
        <v>48730454.411644898</v>
      </c>
      <c r="G36" s="139">
        <v>40551533.557227202</v>
      </c>
    </row>
    <row r="37" spans="2:8" x14ac:dyDescent="0.45">
      <c r="B37" s="171" t="s">
        <v>751</v>
      </c>
      <c r="C37" s="165">
        <f>'Income Statement'!E28</f>
        <v>792115.99159915932</v>
      </c>
      <c r="D37" s="165">
        <f>'Income Statement'!F28</f>
        <v>22111489.477947794</v>
      </c>
      <c r="E37" s="165">
        <f>'Income Statement'!G28</f>
        <v>30294550.022952296</v>
      </c>
      <c r="F37" s="165">
        <f>'Income Statement'!H28</f>
        <v>43840048.149099909</v>
      </c>
      <c r="G37" s="165">
        <f>'Income Statement'!I28</f>
        <v>35941705.681554921</v>
      </c>
    </row>
    <row r="39" spans="2:8" ht="15.4" x14ac:dyDescent="0.45">
      <c r="B39" s="94" t="s">
        <v>774</v>
      </c>
    </row>
    <row r="40" spans="2:8" x14ac:dyDescent="0.45">
      <c r="B40" s="164" t="s">
        <v>149</v>
      </c>
      <c r="C40" s="96" t="s">
        <v>124</v>
      </c>
      <c r="D40" s="96" t="s">
        <v>769</v>
      </c>
      <c r="E40" s="96" t="s">
        <v>770</v>
      </c>
      <c r="F40" s="96" t="s">
        <v>771</v>
      </c>
      <c r="G40" s="96" t="s">
        <v>126</v>
      </c>
    </row>
    <row r="41" spans="2:8" x14ac:dyDescent="0.45">
      <c r="B41" s="29" t="s">
        <v>748</v>
      </c>
      <c r="C41" s="139">
        <v>-5054295.7304008398</v>
      </c>
      <c r="D41" s="139">
        <v>13182112.698922399</v>
      </c>
      <c r="E41" s="139">
        <v>18077890.902115401</v>
      </c>
      <c r="F41" s="139">
        <v>28396367.677497402</v>
      </c>
      <c r="G41" s="139">
        <v>23168060.022452299</v>
      </c>
    </row>
    <row r="42" spans="2:8" x14ac:dyDescent="0.45">
      <c r="B42" s="29" t="s">
        <v>749</v>
      </c>
      <c r="C42" s="139">
        <v>-7777398.0602547899</v>
      </c>
      <c r="D42" s="139">
        <v>6347945.5494811898</v>
      </c>
      <c r="E42" s="139">
        <v>9253128.6849602796</v>
      </c>
      <c r="F42" s="139">
        <v>16844245.451148</v>
      </c>
      <c r="G42" s="139">
        <v>12927558.857522</v>
      </c>
    </row>
    <row r="43" spans="2:8" x14ac:dyDescent="0.45">
      <c r="B43" s="29" t="s">
        <v>750</v>
      </c>
      <c r="C43" s="139">
        <v>-4239291.5299808001</v>
      </c>
      <c r="D43" s="139">
        <v>15209010.787731299</v>
      </c>
      <c r="E43" s="139">
        <v>21053544.941283401</v>
      </c>
      <c r="F43" s="139">
        <v>31941912.217842601</v>
      </c>
      <c r="G43" s="139">
        <v>26510185.232314698</v>
      </c>
    </row>
    <row r="44" spans="2:8" x14ac:dyDescent="0.45">
      <c r="B44" s="171" t="s">
        <v>751</v>
      </c>
      <c r="C44" s="165">
        <f>'Income Statement'!E35</f>
        <v>-5054295.7304008408</v>
      </c>
      <c r="D44" s="165">
        <f>'Income Statement'!F35</f>
        <v>13182112.698922381</v>
      </c>
      <c r="E44" s="165">
        <f>'Income Statement'!G35</f>
        <v>18077890.902115412</v>
      </c>
      <c r="F44" s="165">
        <f>'Income Statement'!H35</f>
        <v>28396367.677497432</v>
      </c>
      <c r="G44" s="165">
        <f>'Income Statement'!I35</f>
        <v>23168060.022452317</v>
      </c>
    </row>
    <row r="46" spans="2:8" ht="15.4" x14ac:dyDescent="0.45">
      <c r="B46" s="94" t="s">
        <v>775</v>
      </c>
    </row>
    <row r="47" spans="2:8" ht="15" customHeight="1" x14ac:dyDescent="0.45">
      <c r="B47" s="164" t="s">
        <v>776</v>
      </c>
      <c r="C47" s="96" t="s">
        <v>777</v>
      </c>
      <c r="D47" s="96" t="s">
        <v>778</v>
      </c>
      <c r="E47" s="188" t="s">
        <v>779</v>
      </c>
      <c r="F47" s="188"/>
      <c r="G47" s="188"/>
      <c r="H47" s="96" t="s">
        <v>780</v>
      </c>
    </row>
    <row r="48" spans="2:8" ht="30" customHeight="1" x14ac:dyDescent="0.45">
      <c r="B48" s="172" t="s">
        <v>781</v>
      </c>
      <c r="C48" s="172" t="s">
        <v>782</v>
      </c>
      <c r="D48" s="172" t="s">
        <v>783</v>
      </c>
      <c r="E48" s="187" t="s">
        <v>784</v>
      </c>
      <c r="F48" s="187"/>
      <c r="G48" s="187"/>
      <c r="H48" s="172" t="s">
        <v>785</v>
      </c>
    </row>
    <row r="49" spans="2:8" ht="30" customHeight="1" x14ac:dyDescent="0.45">
      <c r="B49" s="172" t="s">
        <v>786</v>
      </c>
      <c r="C49" s="172" t="s">
        <v>783</v>
      </c>
      <c r="D49" s="172" t="s">
        <v>783</v>
      </c>
      <c r="E49" s="187" t="s">
        <v>787</v>
      </c>
      <c r="F49" s="187"/>
      <c r="G49" s="187"/>
      <c r="H49" s="172" t="s">
        <v>788</v>
      </c>
    </row>
    <row r="50" spans="2:8" ht="30" customHeight="1" x14ac:dyDescent="0.45">
      <c r="B50" s="172" t="s">
        <v>789</v>
      </c>
      <c r="C50" s="172" t="s">
        <v>782</v>
      </c>
      <c r="D50" s="172" t="s">
        <v>783</v>
      </c>
      <c r="E50" s="187" t="s">
        <v>790</v>
      </c>
      <c r="F50" s="187"/>
      <c r="G50" s="187"/>
      <c r="H50" s="172" t="s">
        <v>791</v>
      </c>
    </row>
    <row r="51" spans="2:8" ht="30" customHeight="1" x14ac:dyDescent="0.45">
      <c r="B51" s="172" t="s">
        <v>792</v>
      </c>
      <c r="C51" s="172" t="s">
        <v>782</v>
      </c>
      <c r="D51" s="172" t="s">
        <v>783</v>
      </c>
      <c r="E51" s="187" t="s">
        <v>793</v>
      </c>
      <c r="F51" s="187"/>
      <c r="G51" s="187"/>
      <c r="H51" s="172" t="s">
        <v>794</v>
      </c>
    </row>
    <row r="52" spans="2:8" ht="30" customHeight="1" x14ac:dyDescent="0.45">
      <c r="B52" s="172" t="s">
        <v>795</v>
      </c>
      <c r="C52" s="172" t="s">
        <v>782</v>
      </c>
      <c r="D52" s="172" t="s">
        <v>782</v>
      </c>
      <c r="E52" s="187" t="s">
        <v>796</v>
      </c>
      <c r="F52" s="187"/>
      <c r="G52" s="187"/>
      <c r="H52" s="172" t="s">
        <v>797</v>
      </c>
    </row>
    <row r="53" spans="2:8" ht="30" customHeight="1" x14ac:dyDescent="0.45">
      <c r="B53" s="172" t="s">
        <v>798</v>
      </c>
      <c r="C53" s="172" t="s">
        <v>799</v>
      </c>
      <c r="D53" s="172" t="s">
        <v>783</v>
      </c>
      <c r="E53" s="187" t="s">
        <v>800</v>
      </c>
      <c r="F53" s="187"/>
      <c r="G53" s="187"/>
      <c r="H53" s="172" t="s">
        <v>801</v>
      </c>
    </row>
    <row r="54" spans="2:8" ht="30" customHeight="1" x14ac:dyDescent="0.45">
      <c r="B54" s="172" t="s">
        <v>802</v>
      </c>
      <c r="C54" s="172" t="s">
        <v>782</v>
      </c>
      <c r="D54" s="172" t="s">
        <v>782</v>
      </c>
      <c r="E54" s="187" t="s">
        <v>803</v>
      </c>
      <c r="F54" s="187"/>
      <c r="G54" s="187"/>
      <c r="H54" s="172" t="s">
        <v>804</v>
      </c>
    </row>
    <row r="55" spans="2:8" ht="30" customHeight="1" x14ac:dyDescent="0.45">
      <c r="B55" s="172" t="s">
        <v>805</v>
      </c>
      <c r="C55" s="172" t="s">
        <v>782</v>
      </c>
      <c r="D55" s="172" t="s">
        <v>782</v>
      </c>
      <c r="E55" s="187" t="s">
        <v>806</v>
      </c>
      <c r="F55" s="187"/>
      <c r="G55" s="187"/>
      <c r="H55" s="172" t="s">
        <v>807</v>
      </c>
    </row>
    <row r="56" spans="2:8" ht="30" customHeight="1" x14ac:dyDescent="0.45">
      <c r="B56" s="172" t="s">
        <v>808</v>
      </c>
      <c r="C56" s="172" t="s">
        <v>782</v>
      </c>
      <c r="D56" s="172" t="s">
        <v>782</v>
      </c>
      <c r="E56" s="187" t="s">
        <v>809</v>
      </c>
      <c r="F56" s="187"/>
      <c r="G56" s="187"/>
      <c r="H56" s="172" t="s">
        <v>810</v>
      </c>
    </row>
    <row r="57" spans="2:8" ht="30" customHeight="1" x14ac:dyDescent="0.45">
      <c r="B57" s="172" t="s">
        <v>811</v>
      </c>
      <c r="C57" s="172" t="s">
        <v>799</v>
      </c>
      <c r="D57" s="172" t="s">
        <v>782</v>
      </c>
      <c r="E57" s="187" t="s">
        <v>812</v>
      </c>
      <c r="F57" s="187"/>
      <c r="G57" s="187"/>
      <c r="H57" s="172" t="s">
        <v>813</v>
      </c>
    </row>
    <row r="58" spans="2:8" ht="30" customHeight="1" x14ac:dyDescent="0.45">
      <c r="B58" s="172" t="s">
        <v>814</v>
      </c>
      <c r="C58" s="172" t="s">
        <v>782</v>
      </c>
      <c r="D58" s="172" t="s">
        <v>782</v>
      </c>
      <c r="E58" s="187" t="s">
        <v>815</v>
      </c>
      <c r="F58" s="187"/>
      <c r="G58" s="187"/>
      <c r="H58" s="172" t="s">
        <v>816</v>
      </c>
    </row>
  </sheetData>
  <mergeCells count="12">
    <mergeCell ref="E47:G47"/>
    <mergeCell ref="E48:G48"/>
    <mergeCell ref="E49:G49"/>
    <mergeCell ref="E50:G50"/>
    <mergeCell ref="E51:G51"/>
    <mergeCell ref="E57:G57"/>
    <mergeCell ref="E58:G58"/>
    <mergeCell ref="E52:G52"/>
    <mergeCell ref="E53:G53"/>
    <mergeCell ref="E54:G54"/>
    <mergeCell ref="E55:G55"/>
    <mergeCell ref="E56:G56"/>
  </mergeCells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B1:I42"/>
  <sheetViews>
    <sheetView showGridLines="0" topLeftCell="A22" zoomScaleNormal="100" workbookViewId="0">
      <selection activeCell="A48" sqref="A48"/>
    </sheetView>
  </sheetViews>
  <sheetFormatPr defaultColWidth="8.6640625" defaultRowHeight="14.25" x14ac:dyDescent="0.45"/>
  <cols>
    <col min="1" max="1" width="2" customWidth="1"/>
    <col min="2" max="2" width="44" customWidth="1"/>
    <col min="3" max="9" width="16" customWidth="1"/>
    <col min="10" max="10" width="13" customWidth="1"/>
    <col min="11" max="11" width="60" customWidth="1"/>
  </cols>
  <sheetData>
    <row r="1" spans="2:7" ht="20.65" x14ac:dyDescent="0.6">
      <c r="B1" s="35" t="s">
        <v>81</v>
      </c>
    </row>
    <row r="2" spans="2:7" x14ac:dyDescent="0.45">
      <c r="B2" s="36" t="s">
        <v>817</v>
      </c>
    </row>
    <row r="3" spans="2:7" x14ac:dyDescent="0.45">
      <c r="B3" s="9" t="str">
        <f>"Active scenario: "&amp;Assumptions!$D$11</f>
        <v>Active scenario: Base case</v>
      </c>
    </row>
    <row r="5" spans="2:7" ht="15.4" x14ac:dyDescent="0.45">
      <c r="B5" s="94" t="s">
        <v>818</v>
      </c>
    </row>
    <row r="6" spans="2:7" ht="26.25" x14ac:dyDescent="0.45">
      <c r="B6" s="164" t="s">
        <v>819</v>
      </c>
      <c r="C6" s="96" t="s">
        <v>820</v>
      </c>
      <c r="D6" s="96" t="s">
        <v>821</v>
      </c>
      <c r="E6" s="96" t="s">
        <v>822</v>
      </c>
      <c r="F6" s="96" t="s">
        <v>823</v>
      </c>
      <c r="G6" s="96" t="s">
        <v>717</v>
      </c>
    </row>
    <row r="7" spans="2:7" x14ac:dyDescent="0.45">
      <c r="B7" s="29" t="s">
        <v>748</v>
      </c>
      <c r="C7" s="139">
        <v>30651568.897914</v>
      </c>
      <c r="D7" s="139">
        <v>3093766.9742781799</v>
      </c>
      <c r="E7" s="19">
        <v>0.293332056761614</v>
      </c>
      <c r="F7" s="156">
        <v>1.61165280198562</v>
      </c>
      <c r="G7" s="31">
        <v>8</v>
      </c>
    </row>
    <row r="8" spans="2:7" x14ac:dyDescent="0.45">
      <c r="B8" s="29" t="s">
        <v>824</v>
      </c>
      <c r="C8" s="139">
        <v>18419975.141676702</v>
      </c>
      <c r="D8" s="139">
        <v>-8837324.5669657104</v>
      </c>
      <c r="E8" s="19">
        <v>0.23674777965787699</v>
      </c>
      <c r="F8" s="156">
        <v>1.28185075259058</v>
      </c>
      <c r="G8" s="31">
        <v>8</v>
      </c>
    </row>
    <row r="9" spans="2:7" x14ac:dyDescent="0.45">
      <c r="B9" s="29" t="s">
        <v>825</v>
      </c>
      <c r="C9" s="139">
        <v>42875273.271724999</v>
      </c>
      <c r="D9" s="139">
        <v>15017209.1339665</v>
      </c>
      <c r="E9" s="19">
        <v>0.34744764728166699</v>
      </c>
      <c r="F9" s="156">
        <v>1.94145485138067</v>
      </c>
      <c r="G9" s="31">
        <v>8</v>
      </c>
    </row>
    <row r="10" spans="2:7" x14ac:dyDescent="0.45">
      <c r="B10" s="29" t="s">
        <v>826</v>
      </c>
      <c r="C10" s="139">
        <v>18335160.157718699</v>
      </c>
      <c r="D10" s="139">
        <v>-8126428.0384175098</v>
      </c>
      <c r="E10" s="19">
        <v>0.23767020995615601</v>
      </c>
      <c r="F10" s="156">
        <v>1.33573564022001</v>
      </c>
      <c r="G10" s="31">
        <v>7</v>
      </c>
    </row>
    <row r="11" spans="2:7" x14ac:dyDescent="0.45">
      <c r="B11" s="29" t="s">
        <v>827</v>
      </c>
      <c r="C11" s="139">
        <v>24498565.3747098</v>
      </c>
      <c r="D11" s="139">
        <v>-2511633.80114312</v>
      </c>
      <c r="E11" s="19">
        <v>0.26609296809763799</v>
      </c>
      <c r="F11" s="156">
        <v>1.4736942211028199</v>
      </c>
      <c r="G11" s="31">
        <v>8</v>
      </c>
    </row>
    <row r="12" spans="2:7" x14ac:dyDescent="0.45">
      <c r="B12" s="29" t="s">
        <v>828</v>
      </c>
      <c r="C12" s="139">
        <v>26665112.837588299</v>
      </c>
      <c r="D12" s="139">
        <v>-1060357.51560351</v>
      </c>
      <c r="E12" s="19">
        <v>0.27460157901653598</v>
      </c>
      <c r="F12" s="156">
        <v>1.4802281229869501</v>
      </c>
      <c r="G12" s="31">
        <v>8</v>
      </c>
    </row>
    <row r="13" spans="2:7" x14ac:dyDescent="0.45">
      <c r="B13" s="29" t="s">
        <v>829</v>
      </c>
      <c r="C13" s="139">
        <v>29161378.8345467</v>
      </c>
      <c r="D13" s="139">
        <v>320321.08624650497</v>
      </c>
      <c r="E13" s="19">
        <v>0.27956344472728001</v>
      </c>
      <c r="F13" s="156">
        <v>1.54601929921459</v>
      </c>
      <c r="G13" s="31">
        <v>8</v>
      </c>
    </row>
    <row r="14" spans="2:7" x14ac:dyDescent="0.45">
      <c r="B14" s="29" t="s">
        <v>830</v>
      </c>
      <c r="C14" s="139">
        <v>30651568.897914</v>
      </c>
      <c r="D14" s="139">
        <v>3093766.9742781799</v>
      </c>
      <c r="E14" s="19">
        <v>0.293332056761614</v>
      </c>
      <c r="F14" s="156">
        <v>1.55720906855046</v>
      </c>
      <c r="G14" s="31">
        <v>8</v>
      </c>
    </row>
    <row r="15" spans="2:7" x14ac:dyDescent="0.45">
      <c r="B15" s="29" t="s">
        <v>831</v>
      </c>
      <c r="C15" s="139">
        <v>17745059.193517599</v>
      </c>
      <c r="D15" s="139">
        <v>-9256621.0216369107</v>
      </c>
      <c r="E15" s="19">
        <v>0.23660317874265599</v>
      </c>
      <c r="F15" s="156">
        <v>1.4429651402063901</v>
      </c>
      <c r="G15" s="31">
        <v>8</v>
      </c>
    </row>
    <row r="16" spans="2:7" x14ac:dyDescent="0.45">
      <c r="B16" s="29" t="s">
        <v>832</v>
      </c>
      <c r="C16" s="139">
        <v>29637025.263723198</v>
      </c>
      <c r="D16" s="139">
        <v>3093766.9742781799</v>
      </c>
      <c r="E16" s="19">
        <v>0.28957704253431898</v>
      </c>
      <c r="F16" s="156">
        <v>1.61165280198562</v>
      </c>
      <c r="G16" s="31">
        <v>8</v>
      </c>
    </row>
    <row r="17" spans="2:9" x14ac:dyDescent="0.45">
      <c r="B17" s="29" t="s">
        <v>833</v>
      </c>
      <c r="C17" s="139">
        <v>23584964.138807099</v>
      </c>
      <c r="D17" s="139">
        <v>-1022776.47867852</v>
      </c>
      <c r="E17" s="19">
        <v>0.293332056761614</v>
      </c>
      <c r="F17" s="156">
        <v>1.61165280198562</v>
      </c>
      <c r="G17" s="31">
        <v>8</v>
      </c>
    </row>
    <row r="19" spans="2:9" ht="15.4" x14ac:dyDescent="0.45">
      <c r="B19" s="94" t="s">
        <v>834</v>
      </c>
    </row>
    <row r="20" spans="2:9" x14ac:dyDescent="0.45">
      <c r="B20" s="164" t="s">
        <v>835</v>
      </c>
      <c r="C20" s="96" t="s">
        <v>836</v>
      </c>
      <c r="D20" s="96" t="s">
        <v>837</v>
      </c>
      <c r="E20" s="96" t="s">
        <v>838</v>
      </c>
      <c r="F20" s="96" t="s">
        <v>839</v>
      </c>
    </row>
    <row r="21" spans="2:9" x14ac:dyDescent="0.45">
      <c r="B21" s="159" t="s">
        <v>840</v>
      </c>
      <c r="C21" s="139">
        <v>10164617.548851101</v>
      </c>
      <c r="D21" s="139">
        <v>6180437.4866132196</v>
      </c>
      <c r="E21" s="139">
        <v>2198331.7277790601</v>
      </c>
      <c r="F21" s="139">
        <v>-1781711.86242978</v>
      </c>
    </row>
    <row r="22" spans="2:9" x14ac:dyDescent="0.45">
      <c r="B22" s="159" t="s">
        <v>836</v>
      </c>
      <c r="C22" s="139">
        <v>22406347.021155398</v>
      </c>
      <c r="D22" s="139">
        <v>18419975.141676702</v>
      </c>
      <c r="E22" s="139">
        <v>14435681.4463016</v>
      </c>
      <c r="F22" s="139">
        <v>10453453.8048521</v>
      </c>
    </row>
    <row r="23" spans="2:9" x14ac:dyDescent="0.45">
      <c r="B23" s="159" t="s">
        <v>837</v>
      </c>
      <c r="C23" s="139">
        <v>34640106.904722698</v>
      </c>
      <c r="D23" s="139">
        <v>30651568.897914</v>
      </c>
      <c r="E23" s="139">
        <v>26665112.837588299</v>
      </c>
      <c r="F23" s="139">
        <v>22680726.5988415</v>
      </c>
    </row>
    <row r="24" spans="2:9" x14ac:dyDescent="0.45">
      <c r="B24" s="159" t="s">
        <v>838</v>
      </c>
      <c r="C24" s="139">
        <v>46865951.9990573</v>
      </c>
      <c r="D24" s="139">
        <v>42875273.271724999</v>
      </c>
      <c r="E24" s="139">
        <v>38886680.136846498</v>
      </c>
      <c r="F24" s="139">
        <v>34900160.475447997</v>
      </c>
    </row>
    <row r="25" spans="2:9" x14ac:dyDescent="0.45">
      <c r="B25" s="159" t="s">
        <v>839</v>
      </c>
      <c r="C25" s="139">
        <v>58979054.842126302</v>
      </c>
      <c r="D25" s="139">
        <v>55091142.282638498</v>
      </c>
      <c r="E25" s="139">
        <v>51100437.0859311</v>
      </c>
      <c r="F25" s="139">
        <v>47111808.900718004</v>
      </c>
    </row>
    <row r="27" spans="2:9" x14ac:dyDescent="0.45">
      <c r="B27" s="40" t="s">
        <v>841</v>
      </c>
    </row>
    <row r="29" spans="2:9" x14ac:dyDescent="0.45">
      <c r="B29" s="131" t="s">
        <v>370</v>
      </c>
      <c r="C29" s="132" t="s">
        <v>101</v>
      </c>
      <c r="D29" s="132" t="s">
        <v>371</v>
      </c>
      <c r="E29" s="132" t="str">
        <f>"FY"&amp;(Assumptions!$D$7+E30-1)&amp;"-"&amp;TEXT(MOD(Assumptions!$D$7+E30,100),"00")</f>
        <v>FY2026-27</v>
      </c>
      <c r="F29" s="132" t="str">
        <f>"FY"&amp;(Assumptions!$D$7+F30-1)&amp;"-"&amp;TEXT(MOD(Assumptions!$D$7+F30,100),"00")</f>
        <v>FY2027-28</v>
      </c>
      <c r="G29" s="132" t="str">
        <f>"FY"&amp;(Assumptions!$D$7+G30-1)&amp;"-"&amp;TEXT(MOD(Assumptions!$D$7+G30,100),"00")</f>
        <v>FY2028-29</v>
      </c>
      <c r="H29" s="132" t="str">
        <f>"FY"&amp;(Assumptions!$D$7+H30-1)&amp;"-"&amp;TEXT(MOD(Assumptions!$D$7+H30,100),"00")</f>
        <v>FY2029-30</v>
      </c>
      <c r="I29" s="132" t="str">
        <f>"FY"&amp;(Assumptions!$D$7+I30-1)&amp;"-"&amp;TEXT(MOD(Assumptions!$D$7+I30,100),"00")</f>
        <v>FY2030-31</v>
      </c>
    </row>
    <row r="30" spans="2:9" x14ac:dyDescent="0.45">
      <c r="B30" s="131"/>
      <c r="C30" s="132"/>
      <c r="D30" s="133">
        <v>0</v>
      </c>
      <c r="E30" s="133">
        <v>1</v>
      </c>
      <c r="F30" s="133">
        <v>2</v>
      </c>
      <c r="G30" s="133">
        <v>3</v>
      </c>
      <c r="H30" s="133">
        <v>4</v>
      </c>
      <c r="I30" s="133">
        <v>5</v>
      </c>
    </row>
    <row r="31" spans="2:9" x14ac:dyDescent="0.45">
      <c r="B31" s="134" t="s">
        <v>842</v>
      </c>
      <c r="C31" s="135"/>
      <c r="D31" s="135"/>
      <c r="E31" s="135"/>
      <c r="F31" s="135"/>
      <c r="G31" s="135"/>
      <c r="H31" s="135"/>
      <c r="I31" s="135"/>
    </row>
    <row r="32" spans="2:9" x14ac:dyDescent="0.45">
      <c r="B32" s="17" t="s">
        <v>5</v>
      </c>
      <c r="C32" s="38" t="s">
        <v>149</v>
      </c>
      <c r="F32" s="136">
        <f>'Income Statement'!F10</f>
        <v>49717500</v>
      </c>
      <c r="G32" s="136">
        <f>'Income Statement'!G10</f>
        <v>66811500</v>
      </c>
      <c r="H32" s="136">
        <f>'Income Statement'!H10</f>
        <v>83059593.75</v>
      </c>
      <c r="I32" s="136">
        <f>'Income Statement'!I10</f>
        <v>75543713.437500015</v>
      </c>
    </row>
    <row r="33" spans="2:9" x14ac:dyDescent="0.45">
      <c r="B33" s="17" t="s">
        <v>843</v>
      </c>
      <c r="C33" s="38" t="s">
        <v>149</v>
      </c>
      <c r="F33" s="136">
        <f>Operations!F39</f>
        <v>25250345.522052206</v>
      </c>
      <c r="G33" s="136">
        <f>Operations!G39</f>
        <v>34059314.227047704</v>
      </c>
      <c r="H33" s="136">
        <f>Operations!H39</f>
        <v>36653396.813400097</v>
      </c>
      <c r="I33" s="136">
        <f>Operations!I39</f>
        <v>36920332.154070102</v>
      </c>
    </row>
    <row r="34" spans="2:9" x14ac:dyDescent="0.45">
      <c r="B34" s="17" t="s">
        <v>446</v>
      </c>
      <c r="C34" s="38" t="s">
        <v>138</v>
      </c>
      <c r="F34" s="19">
        <f>IFERROR(1-F33/F32,0)</f>
        <v>0.4921235878301965</v>
      </c>
      <c r="G34" s="19">
        <f>IFERROR(1-G33/G32,0)</f>
        <v>0.4902177884488792</v>
      </c>
      <c r="H34" s="19">
        <f>IFERROR(1-H33/H32,0)</f>
        <v>0.55870965461590527</v>
      </c>
      <c r="I34" s="19">
        <f>IFERROR(1-I33/I32,0)</f>
        <v>0.51127194475797655</v>
      </c>
    </row>
    <row r="35" spans="2:9" x14ac:dyDescent="0.45">
      <c r="B35" s="17" t="s">
        <v>844</v>
      </c>
      <c r="C35" s="38" t="s">
        <v>149</v>
      </c>
      <c r="F35" s="136">
        <f>Operations!F48</f>
        <v>2355665</v>
      </c>
      <c r="G35" s="136">
        <f>Operations!G48</f>
        <v>2457635.75</v>
      </c>
      <c r="H35" s="136">
        <f>Operations!H48</f>
        <v>2566148.7875000001</v>
      </c>
      <c r="I35" s="136">
        <f>Operations!I48</f>
        <v>2681675.6018749997</v>
      </c>
    </row>
    <row r="36" spans="2:9" x14ac:dyDescent="0.45">
      <c r="B36" s="17" t="s">
        <v>20</v>
      </c>
      <c r="C36" s="38" t="s">
        <v>149</v>
      </c>
      <c r="F36" s="136">
        <f>'FA Schedule'!F24+Funding!F32</f>
        <v>5846411.7220000001</v>
      </c>
      <c r="G36" s="136">
        <f>'FA Schedule'!G24+Funding!G32</f>
        <v>5359528.0889999997</v>
      </c>
      <c r="H36" s="136">
        <f>'FA Schedule'!H24+Funding!H32</f>
        <v>4672644.4560000002</v>
      </c>
      <c r="I36" s="136">
        <f>'FA Schedule'!I24+Funding!I32</f>
        <v>3985760.8230000003</v>
      </c>
    </row>
    <row r="37" spans="2:9" x14ac:dyDescent="0.45">
      <c r="B37" s="15" t="s">
        <v>845</v>
      </c>
      <c r="C37" s="137" t="s">
        <v>149</v>
      </c>
      <c r="F37" s="138">
        <f>IFERROR((F35+F36)/F34,0)</f>
        <v>16666701.058088815</v>
      </c>
      <c r="G37" s="138">
        <f>IFERROR((G35+G36)/G34,0)</f>
        <v>15946307.994523516</v>
      </c>
      <c r="H37" s="138">
        <f>IFERROR((H35+H36)/H34,0)</f>
        <v>12956270.190957118</v>
      </c>
      <c r="I37" s="138">
        <f>IFERROR((I35+I36)/I34,0)</f>
        <v>13040880.676586311</v>
      </c>
    </row>
    <row r="38" spans="2:9" x14ac:dyDescent="0.45">
      <c r="B38" s="17" t="s">
        <v>846</v>
      </c>
      <c r="C38" s="38" t="s">
        <v>138</v>
      </c>
      <c r="F38" s="19">
        <f>IFERROR(1-F37/F32,0)</f>
        <v>0.6647719403009239</v>
      </c>
      <c r="G38" s="19">
        <f>IFERROR(1-G37/G32,0)</f>
        <v>0.76132390390092253</v>
      </c>
      <c r="H38" s="19">
        <f>IFERROR(1-H37/H32,0)</f>
        <v>0.84401235780235062</v>
      </c>
      <c r="I38" s="19">
        <f>IFERROR(1-I37/I32,0)</f>
        <v>0.82737305219479984</v>
      </c>
    </row>
    <row r="39" spans="2:9" x14ac:dyDescent="0.45">
      <c r="B39" s="17" t="s">
        <v>847</v>
      </c>
      <c r="C39" s="38" t="s">
        <v>149</v>
      </c>
      <c r="F39" s="139">
        <f>IFERROR((F35+Funding!F33)/F34,0)</f>
        <v>22001038.102517966</v>
      </c>
      <c r="G39" s="139">
        <f>IFERROR((G35+Funding!G33)/G34,0)</f>
        <v>20893401.18890461</v>
      </c>
      <c r="H39" s="139">
        <f>IFERROR((H35+Funding!H33)/H34,0)</f>
        <v>17296902.333187081</v>
      </c>
      <c r="I39" s="139">
        <f>IFERROR((I35+Funding!I33)/I34,0)</f>
        <v>17784252.789734446</v>
      </c>
    </row>
    <row r="40" spans="2:9" x14ac:dyDescent="0.45">
      <c r="B40" s="17" t="s">
        <v>848</v>
      </c>
      <c r="C40" s="38" t="s">
        <v>138</v>
      </c>
      <c r="F40" s="19">
        <f>IFERROR(1-F39/F32,0)</f>
        <v>0.55747899426725067</v>
      </c>
      <c r="G40" s="19">
        <f>IFERROR(1-G39/G32,0)</f>
        <v>0.68727836990780622</v>
      </c>
      <c r="H40" s="19">
        <f>IFERROR(1-H39/H32,0)</f>
        <v>0.79175310698907575</v>
      </c>
      <c r="I40" s="19">
        <f>IFERROR(1-I39/I32,0)</f>
        <v>0.76458328588191549</v>
      </c>
    </row>
    <row r="42" spans="2:9" x14ac:dyDescent="0.45">
      <c r="B42" s="40" t="s">
        <v>849</v>
      </c>
    </row>
  </sheetData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8080"/>
    <pageSetUpPr fitToPage="1"/>
  </sheetPr>
  <dimension ref="B1:C25"/>
  <sheetViews>
    <sheetView showGridLines="0" zoomScaleNormal="100" workbookViewId="0"/>
  </sheetViews>
  <sheetFormatPr defaultColWidth="8.6640625" defaultRowHeight="14.25" x14ac:dyDescent="0.45"/>
  <cols>
    <col min="1" max="1" width="2" customWidth="1"/>
    <col min="2" max="2" width="84" customWidth="1"/>
    <col min="3" max="4" width="12" customWidth="1"/>
    <col min="5" max="10" width="13" customWidth="1"/>
    <col min="11" max="11" width="60" customWidth="1"/>
  </cols>
  <sheetData>
    <row r="1" spans="2:3" ht="20.65" x14ac:dyDescent="0.6">
      <c r="B1" s="35" t="s">
        <v>850</v>
      </c>
    </row>
    <row r="2" spans="2:3" x14ac:dyDescent="0.45">
      <c r="B2" s="36" t="s">
        <v>851</v>
      </c>
    </row>
    <row r="3" spans="2:3" x14ac:dyDescent="0.45">
      <c r="B3" s="9" t="str">
        <f>"Active scenario: "&amp;Assumptions!$D$11</f>
        <v>Active scenario: Base case</v>
      </c>
    </row>
    <row r="4" spans="2:3" x14ac:dyDescent="0.45">
      <c r="B4" s="164" t="s">
        <v>852</v>
      </c>
      <c r="C4" s="96" t="s">
        <v>709</v>
      </c>
    </row>
    <row r="5" spans="2:3" x14ac:dyDescent="0.45">
      <c r="B5" s="29" t="s">
        <v>853</v>
      </c>
      <c r="C5" s="159" t="str">
        <f>IF(SUMPRODUCT(ABS('Balance Sheet'!D25:I25))&lt;1,"OK","ERROR")</f>
        <v>OK</v>
      </c>
    </row>
    <row r="6" spans="2:3" x14ac:dyDescent="0.45">
      <c r="B6" s="29" t="s">
        <v>854</v>
      </c>
      <c r="C6" s="159" t="str">
        <f>IF(ABS(Funding!D18-Funding!D13)&lt;1,"OK","ERROR")</f>
        <v>OK</v>
      </c>
    </row>
    <row r="7" spans="2:3" x14ac:dyDescent="0.45">
      <c r="B7" s="29" t="s">
        <v>855</v>
      </c>
      <c r="C7" s="159" t="str">
        <f>IF(AND(Funding!I29&lt;1,ABS(SUM(Funding!E28:I28)-Funding!D16)&lt;1),"OK","ERROR")</f>
        <v>OK</v>
      </c>
    </row>
    <row r="8" spans="2:3" x14ac:dyDescent="0.45">
      <c r="B8" s="29" t="s">
        <v>856</v>
      </c>
      <c r="C8" s="159" t="str">
        <f>IF(ABS('Balance Sheet'!I21-SUM('Income Statement'!E35:I35)-SUM('Cash Flow'!E23:I23))&lt;1,"OK","ERROR")</f>
        <v>OK</v>
      </c>
    </row>
    <row r="9" spans="2:3" x14ac:dyDescent="0.45">
      <c r="B9" s="29" t="s">
        <v>857</v>
      </c>
      <c r="C9" s="159" t="str">
        <f>IF(MIN('Income Statement'!E42:I42)&gt;=0,"OK","ERROR")</f>
        <v>OK</v>
      </c>
    </row>
    <row r="10" spans="2:3" x14ac:dyDescent="0.45">
      <c r="B10" s="29" t="s">
        <v>858</v>
      </c>
      <c r="C10" s="159" t="str">
        <f>IF(MIN('FA Schedule'!D30:I30)&gt;=-0.5,"OK","ERROR")</f>
        <v>OK</v>
      </c>
    </row>
    <row r="11" spans="2:3" x14ac:dyDescent="0.45">
      <c r="B11" s="29" t="s">
        <v>859</v>
      </c>
      <c r="C11" s="159" t="str">
        <f>IF(SUMPRODUCT(ABS('Segment Analysis'!E44:I44-'Income Statement'!E33:I33))&lt;1,"OK","ERROR")</f>
        <v>OK</v>
      </c>
    </row>
    <row r="12" spans="2:3" x14ac:dyDescent="0.45">
      <c r="B12" s="29" t="s">
        <v>860</v>
      </c>
      <c r="C12" s="159" t="str">
        <f>IF(SUMPRODUCT(ABS('Segment Analysis'!E42:I42-'Income Statement'!E10:I10))&lt;1,"OK","ERROR")</f>
        <v>OK</v>
      </c>
    </row>
    <row r="13" spans="2:3" x14ac:dyDescent="0.45">
      <c r="B13" s="29" t="s">
        <v>861</v>
      </c>
      <c r="C13" s="159" t="str">
        <f>IF((ABS(Farming!I69-Farming!D60)+ABS(Hatchery!I67-Hatchery!D56)+ABS(Farming!V69-Farming!G60)+ABS(Hatchery!V67-Hatchery!G56)+ABS(Farming!AI69-Farming!J60)+ABS(Hatchery!AI67-Hatchery!J56)+ABS(Farming!AV69-Farming!M60)+ABS(Hatchery!AV67-Hatchery!M56))&lt;1,"OK","ERROR")</f>
        <v>OK</v>
      </c>
    </row>
    <row r="14" spans="2:3" x14ac:dyDescent="0.45">
      <c r="B14" s="29" t="s">
        <v>862</v>
      </c>
      <c r="C14" s="159" t="str">
        <f>IF(IF(Assumptions!$G$17&lt;&gt;1,TRUE(),ABS('FA Schedule'!E84-'FA Schedule'!D15)&lt;1),"OK","ERROR")</f>
        <v>OK</v>
      </c>
    </row>
    <row r="15" spans="2:3" x14ac:dyDescent="0.45">
      <c r="B15" s="29" t="s">
        <v>863</v>
      </c>
      <c r="C15" s="159" t="str">
        <f>IF(ABS(Operations!F16-(Farming!G60+Hatchery!G56)*Assumptions!$G$14*Assumptions!$G$15)&lt;1,"OK","ERROR")</f>
        <v>OK</v>
      </c>
    </row>
    <row r="16" spans="2:3" x14ac:dyDescent="0.45">
      <c r="B16" s="29" t="s">
        <v>864</v>
      </c>
      <c r="C16" s="159" t="str">
        <f>IF(SUMPRODUCT(ABS('Cash Flow'!E47:I47))&lt;1,"OK","ERROR")</f>
        <v>OK</v>
      </c>
    </row>
    <row r="17" spans="2:3" x14ac:dyDescent="0.45">
      <c r="B17" s="29" t="s">
        <v>865</v>
      </c>
      <c r="C17" s="159" t="str">
        <f>IF(SUMPRODUCT(ABS('Cash Flow'!E60:I60))&lt;1,"OK","ERROR")</f>
        <v>OK</v>
      </c>
    </row>
    <row r="18" spans="2:3" x14ac:dyDescent="0.45">
      <c r="B18" s="29" t="s">
        <v>866</v>
      </c>
      <c r="C18" s="159" t="str">
        <f>IF(AND(Assumptions!$D$59&gt;=0,Assumptions!$D$59&lt;=1),"OK","ERROR")</f>
        <v>OK</v>
      </c>
    </row>
    <row r="19" spans="2:3" x14ac:dyDescent="0.45">
      <c r="B19" s="29" t="s">
        <v>867</v>
      </c>
      <c r="C19" s="159" t="str">
        <f>IF(SUMPRODUCT(--(-'Cash Flow'!E23:I23&gt;(('Income Statement'!E35:I35&gt;0)*'Income Statement'!E35:I35)+1))=0,"OK","ERROR")</f>
        <v>OK</v>
      </c>
    </row>
    <row r="21" spans="2:3" x14ac:dyDescent="0.45">
      <c r="B21" s="162" t="s">
        <v>868</v>
      </c>
      <c r="C21" s="159" t="str">
        <f>IF(COUNTIF(C5:C19,"OK")=15,"ALL OK","CHECK")</f>
        <v>ALL OK</v>
      </c>
    </row>
    <row r="23" spans="2:3" x14ac:dyDescent="0.45">
      <c r="B23" s="26" t="s">
        <v>869</v>
      </c>
    </row>
    <row r="24" spans="2:3" x14ac:dyDescent="0.45">
      <c r="B24" s="29" t="s">
        <v>870</v>
      </c>
      <c r="C24" s="173">
        <f>SUM('Cash Flow'!E22:I22)</f>
        <v>2455418.5404008375</v>
      </c>
    </row>
    <row r="25" spans="2:3" x14ac:dyDescent="0.45">
      <c r="B25" s="29" t="s">
        <v>52</v>
      </c>
      <c r="C25" s="174" t="str">
        <f>'Loan Analysis'!D43&amp;" of "&amp;'Loan Analysis'!E43</f>
        <v>8 of 8</v>
      </c>
    </row>
  </sheetData>
  <conditionalFormatting sqref="C5:C21">
    <cfRule type="cellIs" dxfId="1" priority="2" operator="equal">
      <formula>"ERROR"</formula>
    </cfRule>
    <cfRule type="cellIs" dxfId="0" priority="3" operator="equal">
      <formula>"CHECK"</formula>
    </cfRule>
  </conditionalFormatting>
  <printOptions horizontalCentered="1"/>
  <pageMargins left="0.5" right="0.5" top="0.7" bottom="0.7" header="0.511811023622047" footer="0.5"/>
  <pageSetup paperSize="9" fitToHeight="0" orientation="landscape" horizontalDpi="300" verticalDpi="300"/>
  <headerFooter>
    <oddFooter>&amp;L&amp;8 Sample Aqua Ltd. - Fish Farming and Hatchery Project&amp;R&amp;8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Dashboard</vt:lpstr>
      <vt:lpstr>Assumptions</vt:lpstr>
      <vt:lpstr>Farming</vt:lpstr>
      <vt:lpstr>Hatchery</vt:lpstr>
      <vt:lpstr>FA Schedule</vt:lpstr>
      <vt:lpstr>Operations</vt:lpstr>
      <vt:lpstr>Working Capital</vt:lpstr>
      <vt:lpstr>Funding</vt:lpstr>
      <vt:lpstr>Income Statement</vt:lpstr>
      <vt:lpstr>Cash Flow</vt:lpstr>
      <vt:lpstr>Balance Sheet</vt:lpstr>
      <vt:lpstr>Segment Analysis</vt:lpstr>
      <vt:lpstr>Investment Analysis</vt:lpstr>
      <vt:lpstr>Owner Returns</vt:lpstr>
      <vt:lpstr>Loan Analysis</vt:lpstr>
      <vt:lpstr>Ratios</vt:lpstr>
      <vt:lpstr>Scenarios and Risk</vt:lpstr>
      <vt:lpstr>Sensitivity and Break-even</vt:lpstr>
      <vt:lpstr>Checks</vt:lpstr>
      <vt:lpstr>Dashboard!Print_Area</vt:lpstr>
      <vt:lpstr>Farming!Print_Area</vt:lpstr>
      <vt:lpstr>Hatchery!Print_Area</vt:lpstr>
      <vt:lpstr>Operations!Print_Area</vt:lpstr>
      <vt:lpstr>Operations!Print_Titles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2026-10-10T06:33:53Z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2026-10-10T06:15:05Z</dcterms:created>
  <dc:creator/>
  <dc:description/>
  <dc:language>en-US</dc:language>
  <cp:lastModifiedBy/>
  <dcterms:modified xsi:type="dcterms:W3CDTF">2026-10-10T06:15:06Z</dcterms:modified>
  <cp:revision>0</cp:revision>
  <dc:subject/>
  <dc:title/>
</cp:coreProperties>
</file>