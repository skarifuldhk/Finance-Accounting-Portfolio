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Personal\Traning\Scholarship\Githab\Upload করা হবে\finance-accounting-portfolio\finance-accounting-portfolio\Budget-Forecast\"/>
    </mc:Choice>
  </mc:AlternateContent>
  <xr:revisionPtr revIDLastSave="0" documentId="13_ncr:1_{9344D019-9E4C-4794-8A58-A941D71EAA88}" xr6:coauthVersionLast="47" xr6:coauthVersionMax="47" xr10:uidLastSave="{00000000-0000-0000-0000-000000000000}"/>
  <bookViews>
    <workbookView xWindow="-98" yWindow="-98" windowWidth="21795" windowHeight="12975" activeTab="2" xr2:uid="{AF9C178B-C178-4859-A23A-4442DD830DF7}"/>
  </bookViews>
  <sheets>
    <sheet name="Bud27 vs Proj26" sheetId="2" r:id="rId1"/>
    <sheet name="Budget-27" sheetId="1" r:id="rId2"/>
    <sheet name="OH Summary" sheetId="3" r:id="rId3"/>
    <sheet name="P&amp;L" sheetId="4" r:id="rId4"/>
  </sheets>
  <definedNames>
    <definedName name="_xlnm._FilterDatabase" localSheetId="1" hidden="1">'Budget-27'!$A$5:$X$53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3" l="1"/>
  <c r="B2" i="4" s="1"/>
  <c r="A1" i="1"/>
  <c r="G25" i="3"/>
  <c r="F12" i="4" l="1"/>
  <c r="F13" i="4" s="1"/>
  <c r="F11" i="4"/>
  <c r="F9" i="4"/>
  <c r="E9" i="4"/>
  <c r="C9" i="4"/>
  <c r="G32" i="3"/>
  <c r="G28" i="3"/>
  <c r="D26" i="3"/>
  <c r="E26" i="3" s="1"/>
  <c r="G26" i="3" s="1"/>
  <c r="D25" i="3"/>
  <c r="D24" i="3"/>
  <c r="D23" i="3"/>
  <c r="D22" i="3"/>
  <c r="D21" i="3"/>
  <c r="D20" i="3"/>
  <c r="D19" i="3"/>
  <c r="D18" i="3"/>
  <c r="D17" i="3"/>
  <c r="F16" i="3"/>
  <c r="D14" i="3"/>
  <c r="D13" i="3"/>
  <c r="D12" i="3"/>
  <c r="D11" i="3"/>
  <c r="F10" i="3"/>
  <c r="G8" i="2"/>
  <c r="G9" i="2"/>
  <c r="G10" i="2"/>
  <c r="G11" i="2"/>
  <c r="G12" i="2"/>
  <c r="G13" i="2"/>
  <c r="G14" i="2"/>
  <c r="G15" i="2"/>
  <c r="G7" i="2"/>
  <c r="F8" i="2"/>
  <c r="E22" i="3" s="1"/>
  <c r="F9" i="2"/>
  <c r="F10" i="2"/>
  <c r="F11" i="2"/>
  <c r="E18" i="3" s="1"/>
  <c r="F12" i="2"/>
  <c r="E11" i="3" s="1"/>
  <c r="F13" i="2"/>
  <c r="E23" i="3" s="1"/>
  <c r="F14" i="2"/>
  <c r="E24" i="3" s="1"/>
  <c r="F15" i="2"/>
  <c r="E19" i="3" s="1"/>
  <c r="F7" i="2"/>
  <c r="E20" i="3" s="1"/>
  <c r="D8" i="2"/>
  <c r="D9" i="2"/>
  <c r="D10" i="2"/>
  <c r="D11" i="2"/>
  <c r="D12" i="2"/>
  <c r="D13" i="2"/>
  <c r="D14" i="2"/>
  <c r="D15" i="2"/>
  <c r="D7" i="2"/>
  <c r="C15" i="2"/>
  <c r="C14" i="2"/>
  <c r="C13" i="2"/>
  <c r="C12" i="2"/>
  <c r="C11" i="2"/>
  <c r="C10" i="2"/>
  <c r="C9" i="2"/>
  <c r="C8" i="2"/>
  <c r="C7" i="2"/>
  <c r="N46" i="1"/>
  <c r="V29" i="1"/>
  <c r="S29" i="1"/>
  <c r="S28" i="1"/>
  <c r="N22" i="1"/>
  <c r="R10" i="1"/>
  <c r="M7" i="1"/>
  <c r="M8" i="1"/>
  <c r="R9" i="1"/>
  <c r="S10" i="1"/>
  <c r="N11" i="1"/>
  <c r="O12" i="1"/>
  <c r="R13" i="1"/>
  <c r="Q14" i="1"/>
  <c r="M15" i="1"/>
  <c r="M16" i="1"/>
  <c r="M17" i="1"/>
  <c r="P18" i="1"/>
  <c r="M19" i="1"/>
  <c r="M20" i="1"/>
  <c r="R21" i="1"/>
  <c r="P22" i="1"/>
  <c r="S23" i="1"/>
  <c r="Q24" i="1"/>
  <c r="R25" i="1"/>
  <c r="M27" i="1"/>
  <c r="M28" i="1"/>
  <c r="M29" i="1"/>
  <c r="S30" i="1"/>
  <c r="M31" i="1"/>
  <c r="M32" i="1"/>
  <c r="P33" i="1"/>
  <c r="N34" i="1"/>
  <c r="S35" i="1"/>
  <c r="S36" i="1"/>
  <c r="P37" i="1"/>
  <c r="R38" i="1"/>
  <c r="M39" i="1"/>
  <c r="M40" i="1"/>
  <c r="M41" i="1"/>
  <c r="R42" i="1"/>
  <c r="M43" i="1"/>
  <c r="M44" i="1"/>
  <c r="R45" i="1"/>
  <c r="R46" i="1"/>
  <c r="N47" i="1"/>
  <c r="P48" i="1"/>
  <c r="P49" i="1"/>
  <c r="P50" i="1"/>
  <c r="M51" i="1"/>
  <c r="M52" i="1"/>
  <c r="W6" i="1"/>
  <c r="J53" i="1"/>
  <c r="I53" i="1"/>
  <c r="H53" i="1"/>
  <c r="G53" i="1"/>
  <c r="F53" i="1"/>
  <c r="G3" i="1"/>
  <c r="F3" i="1"/>
  <c r="J3" i="1"/>
  <c r="I3" i="1"/>
  <c r="F8" i="3" l="1"/>
  <c r="D16" i="3"/>
  <c r="D10" i="3"/>
  <c r="D8" i="3" s="1"/>
  <c r="D30" i="3" s="1"/>
  <c r="E16" i="3"/>
  <c r="I13" i="2"/>
  <c r="E8" i="2"/>
  <c r="E10" i="2"/>
  <c r="E11" i="2"/>
  <c r="I10" i="2"/>
  <c r="E14" i="3"/>
  <c r="E13" i="2"/>
  <c r="E12" i="2"/>
  <c r="D9" i="4"/>
  <c r="E9" i="2"/>
  <c r="H9" i="2" s="1"/>
  <c r="E14" i="2"/>
  <c r="I12" i="2"/>
  <c r="E15" i="2"/>
  <c r="I11" i="2"/>
  <c r="G16" i="2"/>
  <c r="E10" i="4" s="1"/>
  <c r="I7" i="2"/>
  <c r="D16" i="2"/>
  <c r="I15" i="2"/>
  <c r="I14" i="2"/>
  <c r="E7" i="2"/>
  <c r="C20" i="3" s="1"/>
  <c r="G20" i="3" s="1"/>
  <c r="I8" i="2"/>
  <c r="C16" i="2"/>
  <c r="F16" i="2"/>
  <c r="C10" i="4" s="1"/>
  <c r="C12" i="4" s="1"/>
  <c r="C13" i="4" s="1"/>
  <c r="S15" i="1"/>
  <c r="O34" i="1"/>
  <c r="P15" i="1"/>
  <c r="N6" i="1"/>
  <c r="Q41" i="1"/>
  <c r="N23" i="1"/>
  <c r="P10" i="1"/>
  <c r="R41" i="1"/>
  <c r="Q10" i="1"/>
  <c r="S41" i="1"/>
  <c r="M6" i="1"/>
  <c r="X6" i="1"/>
  <c r="P11" i="1"/>
  <c r="P23" i="1"/>
  <c r="P34" i="1"/>
  <c r="N12" i="1"/>
  <c r="Q23" i="1"/>
  <c r="P46" i="1"/>
  <c r="O25" i="1"/>
  <c r="Q35" i="1"/>
  <c r="R47" i="1"/>
  <c r="O23" i="1"/>
  <c r="V11" i="1"/>
  <c r="O46" i="1"/>
  <c r="Q34" i="1"/>
  <c r="S13" i="1"/>
  <c r="P25" i="1"/>
  <c r="O37" i="1"/>
  <c r="Q48" i="1"/>
  <c r="Q15" i="1"/>
  <c r="N27" i="1"/>
  <c r="S37" i="1"/>
  <c r="O50" i="1"/>
  <c r="Q50" i="1"/>
  <c r="S14" i="1"/>
  <c r="Q25" i="1"/>
  <c r="Q37" i="1"/>
  <c r="R49" i="1"/>
  <c r="S25" i="1"/>
  <c r="R37" i="1"/>
  <c r="N50" i="1"/>
  <c r="O10" i="1"/>
  <c r="R15" i="1"/>
  <c r="O27" i="1"/>
  <c r="N39" i="1"/>
  <c r="N21" i="1"/>
  <c r="O21" i="1"/>
  <c r="P21" i="1"/>
  <c r="P45" i="1"/>
  <c r="R33" i="1"/>
  <c r="S33" i="1"/>
  <c r="N9" i="1"/>
  <c r="S16" i="1"/>
  <c r="Q27" i="1"/>
  <c r="S39" i="1"/>
  <c r="P51" i="1"/>
  <c r="O9" i="1"/>
  <c r="T51" i="1"/>
  <c r="S9" i="1"/>
  <c r="V51" i="1"/>
  <c r="V9" i="1"/>
  <c r="P13" i="1"/>
  <c r="W16" i="1"/>
  <c r="R23" i="1"/>
  <c r="Q28" i="1"/>
  <c r="O35" i="1"/>
  <c r="P40" i="1"/>
  <c r="Q46" i="1"/>
  <c r="W51" i="1"/>
  <c r="Q21" i="1"/>
  <c r="O33" i="1"/>
  <c r="V43" i="1"/>
  <c r="S21" i="1"/>
  <c r="Q33" i="1"/>
  <c r="Q45" i="1"/>
  <c r="V7" i="1"/>
  <c r="T15" i="1"/>
  <c r="P27" i="1"/>
  <c r="O39" i="1"/>
  <c r="S45" i="1"/>
  <c r="N13" i="1"/>
  <c r="T16" i="1"/>
  <c r="V27" i="1"/>
  <c r="N40" i="1"/>
  <c r="O13" i="1"/>
  <c r="V16" i="1"/>
  <c r="P28" i="1"/>
  <c r="O40" i="1"/>
  <c r="N10" i="1"/>
  <c r="Q13" i="1"/>
  <c r="O19" i="1"/>
  <c r="R28" i="1"/>
  <c r="P35" i="1"/>
  <c r="Q40" i="1"/>
  <c r="N52" i="1"/>
  <c r="V20" i="1"/>
  <c r="P8" i="1"/>
  <c r="N17" i="1"/>
  <c r="S19" i="1"/>
  <c r="T28" i="1"/>
  <c r="P31" i="1"/>
  <c r="S32" i="1"/>
  <c r="R40" i="1"/>
  <c r="N42" i="1"/>
  <c r="P44" i="1"/>
  <c r="O52" i="1"/>
  <c r="N7" i="1"/>
  <c r="Q8" i="1"/>
  <c r="V15" i="1"/>
  <c r="O17" i="1"/>
  <c r="T19" i="1"/>
  <c r="R27" i="1"/>
  <c r="V28" i="1"/>
  <c r="Q31" i="1"/>
  <c r="V32" i="1"/>
  <c r="P39" i="1"/>
  <c r="S40" i="1"/>
  <c r="N43" i="1"/>
  <c r="Q44" i="1"/>
  <c r="P52" i="1"/>
  <c r="O7" i="1"/>
  <c r="R8" i="1"/>
  <c r="W15" i="1"/>
  <c r="P17" i="1"/>
  <c r="V19" i="1"/>
  <c r="N24" i="1"/>
  <c r="S27" i="1"/>
  <c r="W28" i="1"/>
  <c r="R31" i="1"/>
  <c r="R35" i="1"/>
  <c r="Q39" i="1"/>
  <c r="T40" i="1"/>
  <c r="O43" i="1"/>
  <c r="R44" i="1"/>
  <c r="P47" i="1"/>
  <c r="N51" i="1"/>
  <c r="Q52" i="1"/>
  <c r="P7" i="1"/>
  <c r="S8" i="1"/>
  <c r="N16" i="1"/>
  <c r="Q17" i="1"/>
  <c r="W19" i="1"/>
  <c r="N25" i="1"/>
  <c r="T27" i="1"/>
  <c r="N29" i="1"/>
  <c r="S31" i="1"/>
  <c r="R39" i="1"/>
  <c r="V40" i="1"/>
  <c r="P43" i="1"/>
  <c r="S44" i="1"/>
  <c r="Q47" i="1"/>
  <c r="O51" i="1"/>
  <c r="R52" i="1"/>
  <c r="R20" i="1"/>
  <c r="O32" i="1"/>
  <c r="W7" i="1"/>
  <c r="P19" i="1"/>
  <c r="S20" i="1"/>
  <c r="P32" i="1"/>
  <c r="W43" i="1"/>
  <c r="N8" i="1"/>
  <c r="Q19" i="1"/>
  <c r="N31" i="1"/>
  <c r="Q32" i="1"/>
  <c r="N44" i="1"/>
  <c r="O8" i="1"/>
  <c r="R19" i="1"/>
  <c r="O31" i="1"/>
  <c r="R32" i="1"/>
  <c r="V41" i="1"/>
  <c r="O44" i="1"/>
  <c r="Q7" i="1"/>
  <c r="V8" i="1"/>
  <c r="O16" i="1"/>
  <c r="R17" i="1"/>
  <c r="N20" i="1"/>
  <c r="O29" i="1"/>
  <c r="T31" i="1"/>
  <c r="N36" i="1"/>
  <c r="W40" i="1"/>
  <c r="Q43" i="1"/>
  <c r="V44" i="1"/>
  <c r="S52" i="1"/>
  <c r="R7" i="1"/>
  <c r="Q11" i="1"/>
  <c r="P16" i="1"/>
  <c r="S17" i="1"/>
  <c r="O20" i="1"/>
  <c r="W27" i="1"/>
  <c r="P29" i="1"/>
  <c r="V31" i="1"/>
  <c r="O36" i="1"/>
  <c r="T39" i="1"/>
  <c r="N41" i="1"/>
  <c r="R43" i="1"/>
  <c r="N48" i="1"/>
  <c r="Q51" i="1"/>
  <c r="T52" i="1"/>
  <c r="S7" i="1"/>
  <c r="R11" i="1"/>
  <c r="N15" i="1"/>
  <c r="Q16" i="1"/>
  <c r="V17" i="1"/>
  <c r="P20" i="1"/>
  <c r="O22" i="1"/>
  <c r="N28" i="1"/>
  <c r="Q29" i="1"/>
  <c r="W31" i="1"/>
  <c r="V39" i="1"/>
  <c r="O41" i="1"/>
  <c r="S43" i="1"/>
  <c r="O48" i="1"/>
  <c r="R51" i="1"/>
  <c r="V52" i="1"/>
  <c r="T7" i="1"/>
  <c r="S11" i="1"/>
  <c r="O15" i="1"/>
  <c r="R16" i="1"/>
  <c r="N19" i="1"/>
  <c r="Q20" i="1"/>
  <c r="O28" i="1"/>
  <c r="R29" i="1"/>
  <c r="N32" i="1"/>
  <c r="W39" i="1"/>
  <c r="P41" i="1"/>
  <c r="T43" i="1"/>
  <c r="S51" i="1"/>
  <c r="W52" i="1"/>
  <c r="M26" i="1"/>
  <c r="W26" i="1"/>
  <c r="X26" i="1"/>
  <c r="V26" i="1"/>
  <c r="U26" i="1"/>
  <c r="T26" i="1"/>
  <c r="R30" i="1"/>
  <c r="S42" i="1"/>
  <c r="M37" i="1"/>
  <c r="W37" i="1"/>
  <c r="X37" i="1"/>
  <c r="V37" i="1"/>
  <c r="U37" i="1"/>
  <c r="T37" i="1"/>
  <c r="M25" i="1"/>
  <c r="V25" i="1"/>
  <c r="X25" i="1"/>
  <c r="W25" i="1"/>
  <c r="U25" i="1"/>
  <c r="T25" i="1"/>
  <c r="R18" i="1"/>
  <c r="M48" i="1"/>
  <c r="W48" i="1"/>
  <c r="X48" i="1"/>
  <c r="V48" i="1"/>
  <c r="U48" i="1"/>
  <c r="T48" i="1"/>
  <c r="S48" i="1"/>
  <c r="M12" i="1"/>
  <c r="W12" i="1"/>
  <c r="X12" i="1"/>
  <c r="U12" i="1"/>
  <c r="T12" i="1"/>
  <c r="P12" i="1"/>
  <c r="S18" i="1"/>
  <c r="O26" i="1"/>
  <c r="P36" i="1"/>
  <c r="R48" i="1"/>
  <c r="M35" i="1"/>
  <c r="W35" i="1"/>
  <c r="X35" i="1"/>
  <c r="V35" i="1"/>
  <c r="U35" i="1"/>
  <c r="T35" i="1"/>
  <c r="N49" i="1"/>
  <c r="M46" i="1"/>
  <c r="W46" i="1"/>
  <c r="X46" i="1"/>
  <c r="V46" i="1"/>
  <c r="U46" i="1"/>
  <c r="T46" i="1"/>
  <c r="M34" i="1"/>
  <c r="W34" i="1"/>
  <c r="V34" i="1"/>
  <c r="X34" i="1"/>
  <c r="U34" i="1"/>
  <c r="T34" i="1"/>
  <c r="M22" i="1"/>
  <c r="W22" i="1"/>
  <c r="X22" i="1"/>
  <c r="V22" i="1"/>
  <c r="U22" i="1"/>
  <c r="T22" i="1"/>
  <c r="M10" i="1"/>
  <c r="W10" i="1"/>
  <c r="X10" i="1"/>
  <c r="U10" i="1"/>
  <c r="T10" i="1"/>
  <c r="V10" i="1"/>
  <c r="R12" i="1"/>
  <c r="P14" i="1"/>
  <c r="Q22" i="1"/>
  <c r="Q26" i="1"/>
  <c r="R34" i="1"/>
  <c r="R36" i="1"/>
  <c r="S46" i="1"/>
  <c r="O49" i="1"/>
  <c r="M30" i="1"/>
  <c r="W30" i="1"/>
  <c r="V30" i="1"/>
  <c r="X30" i="1"/>
  <c r="U30" i="1"/>
  <c r="T30" i="1"/>
  <c r="N18" i="1"/>
  <c r="O30" i="1"/>
  <c r="P42" i="1"/>
  <c r="O18" i="1"/>
  <c r="Q30" i="1"/>
  <c r="M38" i="1"/>
  <c r="W38" i="1"/>
  <c r="V38" i="1"/>
  <c r="X38" i="1"/>
  <c r="U38" i="1"/>
  <c r="T38" i="1"/>
  <c r="M24" i="1"/>
  <c r="W24" i="1"/>
  <c r="X24" i="1"/>
  <c r="V24" i="1"/>
  <c r="U24" i="1"/>
  <c r="T24" i="1"/>
  <c r="N14" i="1"/>
  <c r="O24" i="1"/>
  <c r="P38" i="1"/>
  <c r="M23" i="1"/>
  <c r="V23" i="1"/>
  <c r="X23" i="1"/>
  <c r="W23" i="1"/>
  <c r="U23" i="1"/>
  <c r="T23" i="1"/>
  <c r="M45" i="1"/>
  <c r="W45" i="1"/>
  <c r="X45" i="1"/>
  <c r="V45" i="1"/>
  <c r="U45" i="1"/>
  <c r="T45" i="1"/>
  <c r="M21" i="1"/>
  <c r="V21" i="1"/>
  <c r="X21" i="1"/>
  <c r="W21" i="1"/>
  <c r="U21" i="1"/>
  <c r="T21" i="1"/>
  <c r="M9" i="1"/>
  <c r="X9" i="1"/>
  <c r="W9" i="1"/>
  <c r="U9" i="1"/>
  <c r="T9" i="1"/>
  <c r="P9" i="1"/>
  <c r="S12" i="1"/>
  <c r="R22" i="1"/>
  <c r="R24" i="1"/>
  <c r="R26" i="1"/>
  <c r="S34" i="1"/>
  <c r="S38" i="1"/>
  <c r="N45" i="1"/>
  <c r="M42" i="1"/>
  <c r="W42" i="1"/>
  <c r="V42" i="1"/>
  <c r="X42" i="1"/>
  <c r="U42" i="1"/>
  <c r="T42" i="1"/>
  <c r="M18" i="1"/>
  <c r="W18" i="1"/>
  <c r="X18" i="1"/>
  <c r="V18" i="1"/>
  <c r="U18" i="1"/>
  <c r="T18" i="1"/>
  <c r="N30" i="1"/>
  <c r="O42" i="1"/>
  <c r="P30" i="1"/>
  <c r="Q42" i="1"/>
  <c r="M50" i="1"/>
  <c r="W50" i="1"/>
  <c r="X50" i="1"/>
  <c r="V50" i="1"/>
  <c r="U50" i="1"/>
  <c r="T50" i="1"/>
  <c r="S50" i="1"/>
  <c r="M14" i="1"/>
  <c r="X14" i="1"/>
  <c r="W14" i="1"/>
  <c r="V14" i="1"/>
  <c r="U14" i="1"/>
  <c r="T14" i="1"/>
  <c r="Q18" i="1"/>
  <c r="N38" i="1"/>
  <c r="R50" i="1"/>
  <c r="M49" i="1"/>
  <c r="W49" i="1"/>
  <c r="X49" i="1"/>
  <c r="V49" i="1"/>
  <c r="U49" i="1"/>
  <c r="T49" i="1"/>
  <c r="S49" i="1"/>
  <c r="M13" i="1"/>
  <c r="X13" i="1"/>
  <c r="W13" i="1"/>
  <c r="U13" i="1"/>
  <c r="T13" i="1"/>
  <c r="V13" i="1"/>
  <c r="N26" i="1"/>
  <c r="O38" i="1"/>
  <c r="M36" i="1"/>
  <c r="V36" i="1"/>
  <c r="X36" i="1"/>
  <c r="W36" i="1"/>
  <c r="U36" i="1"/>
  <c r="T36" i="1"/>
  <c r="M47" i="1"/>
  <c r="W47" i="1"/>
  <c r="V47" i="1"/>
  <c r="X47" i="1"/>
  <c r="U47" i="1"/>
  <c r="T47" i="1"/>
  <c r="S47" i="1"/>
  <c r="M11" i="1"/>
  <c r="X11" i="1"/>
  <c r="W11" i="1"/>
  <c r="U11" i="1"/>
  <c r="T11" i="1"/>
  <c r="Q12" i="1"/>
  <c r="O14" i="1"/>
  <c r="P24" i="1"/>
  <c r="P26" i="1"/>
  <c r="Q36" i="1"/>
  <c r="Q38" i="1"/>
  <c r="M33" i="1"/>
  <c r="X33" i="1"/>
  <c r="W33" i="1"/>
  <c r="V33" i="1"/>
  <c r="U33" i="1"/>
  <c r="T33" i="1"/>
  <c r="Q9" i="1"/>
  <c r="O11" i="1"/>
  <c r="V12" i="1"/>
  <c r="R14" i="1"/>
  <c r="S22" i="1"/>
  <c r="S24" i="1"/>
  <c r="S26" i="1"/>
  <c r="N33" i="1"/>
  <c r="N35" i="1"/>
  <c r="N37" i="1"/>
  <c r="O45" i="1"/>
  <c r="O47" i="1"/>
  <c r="Q49" i="1"/>
  <c r="T8" i="1"/>
  <c r="T17" i="1"/>
  <c r="T20" i="1"/>
  <c r="T29" i="1"/>
  <c r="T32" i="1"/>
  <c r="T41" i="1"/>
  <c r="T44" i="1"/>
  <c r="U7" i="1"/>
  <c r="U8" i="1"/>
  <c r="U15" i="1"/>
  <c r="U16" i="1"/>
  <c r="U17" i="1"/>
  <c r="U19" i="1"/>
  <c r="U20" i="1"/>
  <c r="U27" i="1"/>
  <c r="U28" i="1"/>
  <c r="U29" i="1"/>
  <c r="U31" i="1"/>
  <c r="U32" i="1"/>
  <c r="U39" i="1"/>
  <c r="U40" i="1"/>
  <c r="U41" i="1"/>
  <c r="U43" i="1"/>
  <c r="U44" i="1"/>
  <c r="U51" i="1"/>
  <c r="U52" i="1"/>
  <c r="W17" i="1"/>
  <c r="W29" i="1"/>
  <c r="W44" i="1"/>
  <c r="X7" i="1"/>
  <c r="X8" i="1"/>
  <c r="X15" i="1"/>
  <c r="X16" i="1"/>
  <c r="X17" i="1"/>
  <c r="X19" i="1"/>
  <c r="X20" i="1"/>
  <c r="X27" i="1"/>
  <c r="X28" i="1"/>
  <c r="X29" i="1"/>
  <c r="X31" i="1"/>
  <c r="X32" i="1"/>
  <c r="X39" i="1"/>
  <c r="X40" i="1"/>
  <c r="X41" i="1"/>
  <c r="X43" i="1"/>
  <c r="X44" i="1"/>
  <c r="X51" i="1"/>
  <c r="X52" i="1"/>
  <c r="L53" i="1"/>
  <c r="W8" i="1"/>
  <c r="W20" i="1"/>
  <c r="W32" i="1"/>
  <c r="W41" i="1"/>
  <c r="T6" i="1"/>
  <c r="O6" i="1"/>
  <c r="P6" i="1"/>
  <c r="U6" i="1"/>
  <c r="Q6" i="1"/>
  <c r="R6" i="1"/>
  <c r="S6" i="1"/>
  <c r="V6" i="1"/>
  <c r="L3" i="1"/>
  <c r="K53" i="1"/>
  <c r="K3" i="1"/>
  <c r="E12" i="4" l="1"/>
  <c r="E13" i="4" s="1"/>
  <c r="E11" i="4"/>
  <c r="W53" i="1"/>
  <c r="H8" i="2"/>
  <c r="C22" i="3"/>
  <c r="G22" i="3" s="1"/>
  <c r="H14" i="2"/>
  <c r="C24" i="3"/>
  <c r="G24" i="3" s="1"/>
  <c r="H13" i="2"/>
  <c r="C23" i="3"/>
  <c r="G23" i="3" s="1"/>
  <c r="H10" i="2"/>
  <c r="C14" i="3"/>
  <c r="G14" i="3" s="1"/>
  <c r="H12" i="2"/>
  <c r="C11" i="3"/>
  <c r="H15" i="2"/>
  <c r="C19" i="3"/>
  <c r="G19" i="3" s="1"/>
  <c r="H11" i="2"/>
  <c r="C18" i="3"/>
  <c r="E16" i="2"/>
  <c r="D10" i="4" s="1"/>
  <c r="D11" i="4" s="1"/>
  <c r="C11" i="4"/>
  <c r="E10" i="3"/>
  <c r="D12" i="4"/>
  <c r="D13" i="4" s="1"/>
  <c r="H7" i="2"/>
  <c r="I16" i="2"/>
  <c r="V53" i="1"/>
  <c r="R53" i="1"/>
  <c r="Q53" i="1"/>
  <c r="N53" i="1"/>
  <c r="M53" i="1"/>
  <c r="U53" i="1"/>
  <c r="O53" i="1"/>
  <c r="S53" i="1"/>
  <c r="P53" i="1"/>
  <c r="T53" i="1"/>
  <c r="X53" i="1"/>
  <c r="C16" i="3" l="1"/>
  <c r="G16" i="3" s="1"/>
  <c r="G18" i="3"/>
  <c r="C10" i="3"/>
  <c r="G10" i="3" s="1"/>
  <c r="G11" i="3"/>
  <c r="H16" i="2"/>
  <c r="E8" i="3"/>
  <c r="C8" i="3" l="1"/>
  <c r="C30" i="3" s="1"/>
  <c r="C35" i="3" s="1"/>
  <c r="C33" i="3"/>
  <c r="E30" i="3"/>
  <c r="G8" i="3"/>
  <c r="G30" i="3" l="1"/>
  <c r="E33" i="3"/>
  <c r="E35" i="3"/>
</calcChain>
</file>

<file path=xl/sharedStrings.xml><?xml version="1.0" encoding="utf-8"?>
<sst xmlns="http://schemas.openxmlformats.org/spreadsheetml/2006/main" count="207" uniqueCount="123">
  <si>
    <t>Budget &amp; Monthly Forecast</t>
  </si>
  <si>
    <t>Group</t>
  </si>
  <si>
    <t>Advertisement and Sales Promotion</t>
  </si>
  <si>
    <t>Communication Costs</t>
  </si>
  <si>
    <t>ECL/Bad Debts</t>
  </si>
  <si>
    <t>Insurance</t>
  </si>
  <si>
    <t>Legal &amp; Professional Fees</t>
  </si>
  <si>
    <t>One Time Costs</t>
  </si>
  <si>
    <t>Operating &amp; Other Expenses</t>
  </si>
  <si>
    <t>Personnel cost</t>
  </si>
  <si>
    <t>Product Registration</t>
  </si>
  <si>
    <t>Travel &amp; Conveyance</t>
  </si>
  <si>
    <t>G/L account</t>
  </si>
  <si>
    <t>G/L description</t>
  </si>
  <si>
    <t>Description</t>
  </si>
  <si>
    <t>Courier &amp; Postage</t>
  </si>
  <si>
    <t>Telephone Expenses</t>
  </si>
  <si>
    <t>Expected Credit Loss</t>
  </si>
  <si>
    <t>Credit Insurance</t>
  </si>
  <si>
    <t>Audit Fees</t>
  </si>
  <si>
    <t>Legal fees</t>
  </si>
  <si>
    <t>Entertainment</t>
  </si>
  <si>
    <t>Stationery</t>
  </si>
  <si>
    <t>Office Expenses</t>
  </si>
  <si>
    <t>Conveyance</t>
  </si>
  <si>
    <t>Cost Center</t>
  </si>
  <si>
    <t>Q1</t>
  </si>
  <si>
    <t>Q2</t>
  </si>
  <si>
    <t>Q3</t>
  </si>
  <si>
    <t>Q4</t>
  </si>
  <si>
    <t>Particulars</t>
  </si>
  <si>
    <t>Growth over Budget %</t>
  </si>
  <si>
    <t>Remarks</t>
  </si>
  <si>
    <t>Total</t>
  </si>
  <si>
    <t>Estimated</t>
  </si>
  <si>
    <t>Variance</t>
  </si>
  <si>
    <t>FY'25</t>
  </si>
  <si>
    <t>9 Month Act</t>
  </si>
  <si>
    <t>%</t>
  </si>
  <si>
    <t xml:space="preserve"> </t>
  </si>
  <si>
    <t>Overheads (excl.ECL/Bad Debts)</t>
  </si>
  <si>
    <t>Fixed Component</t>
  </si>
  <si>
    <t>     Employee Benefits Expenses</t>
  </si>
  <si>
    <t>     Rent</t>
  </si>
  <si>
    <t>     Rates and Taxes</t>
  </si>
  <si>
    <t>     Insurance</t>
  </si>
  <si>
    <t>Variable Component</t>
  </si>
  <si>
    <t>     Employee Benefits Exp - Contract</t>
  </si>
  <si>
    <t>     Legal &amp; Professional Fees</t>
  </si>
  <si>
    <t>     Travel &amp; Conveyance</t>
  </si>
  <si>
    <t>     Advertisement &amp; Sales Promotion</t>
  </si>
  <si>
    <t>     Warehousing Cost</t>
  </si>
  <si>
    <t>     Communication Costs</t>
  </si>
  <si>
    <t>     Operating &amp; Other Expenses</t>
  </si>
  <si>
    <t>     Product Registration</t>
  </si>
  <si>
    <t xml:space="preserve">     Repairs &amp; Maintenance</t>
  </si>
  <si>
    <t>     One Time costs</t>
  </si>
  <si>
    <t>ECL/ Bad debts</t>
  </si>
  <si>
    <t>Overheads (incl.ECL/Bad Debts)</t>
  </si>
  <si>
    <t>Revenue</t>
  </si>
  <si>
    <t>% of Revenue</t>
  </si>
  <si>
    <t>Overheads % to Contribution</t>
  </si>
  <si>
    <t>Contri</t>
  </si>
  <si>
    <t>Budget</t>
  </si>
  <si>
    <t>Projection</t>
  </si>
  <si>
    <t>Actual</t>
  </si>
  <si>
    <t>FY</t>
  </si>
  <si>
    <t>Sales</t>
  </si>
  <si>
    <t>Contribution</t>
  </si>
  <si>
    <t>Overhead</t>
  </si>
  <si>
    <t>EBITDA</t>
  </si>
  <si>
    <t>% Revenue</t>
  </si>
  <si>
    <t>XYZ Company Ltd.</t>
  </si>
  <si>
    <t>Rupi</t>
  </si>
  <si>
    <t>Jan'26 to Mar'26 Forecast</t>
  </si>
  <si>
    <t>PY Act OH      2024-25</t>
  </si>
  <si>
    <t>Budget       2025-26</t>
  </si>
  <si>
    <t>PY YTD Act Dec 2024</t>
  </si>
  <si>
    <t>YTD Act Dec 2025</t>
  </si>
  <si>
    <t>Full Year Closing FY: 25-26</t>
  </si>
  <si>
    <t>Budget       2026-27</t>
  </si>
  <si>
    <t>Product Samples</t>
  </si>
  <si>
    <t>Field Reimbursement</t>
  </si>
  <si>
    <t>Sales Promotion</t>
  </si>
  <si>
    <t>Social Media</t>
  </si>
  <si>
    <t>Regional Meetings</t>
  </si>
  <si>
    <t>Customer Events</t>
  </si>
  <si>
    <t>Promotional Giveaways</t>
  </si>
  <si>
    <t>Printed Collateral</t>
  </si>
  <si>
    <t>Advertising</t>
  </si>
  <si>
    <t>Internet Charges</t>
  </si>
  <si>
    <t>Other Professional Services</t>
  </si>
  <si>
    <t>Other Fees</t>
  </si>
  <si>
    <t>IT Services</t>
  </si>
  <si>
    <t>Legal - IP</t>
  </si>
  <si>
    <t>Asset Write-off</t>
  </si>
  <si>
    <t>Miscellaneous</t>
  </si>
  <si>
    <t>Subscriptions</t>
  </si>
  <si>
    <t>Utilities</t>
  </si>
  <si>
    <t>Printing</t>
  </si>
  <si>
    <t>Maintenance Supplies</t>
  </si>
  <si>
    <t>Repairs</t>
  </si>
  <si>
    <t>Electricity</t>
  </si>
  <si>
    <t>Bonus Provision</t>
  </si>
  <si>
    <t>Payroll Insurance</t>
  </si>
  <si>
    <t>Bonus - Staff</t>
  </si>
  <si>
    <t>Salaries - Staff</t>
  </si>
  <si>
    <t>Wages</t>
  </si>
  <si>
    <t>Gratuity Provision</t>
  </si>
  <si>
    <t>Provident Fund</t>
  </si>
  <si>
    <t>Registration Fees</t>
  </si>
  <si>
    <t>Travel - International</t>
  </si>
  <si>
    <t>Travel - Domestic</t>
  </si>
  <si>
    <t>FY'27</t>
  </si>
  <si>
    <t>FY'26</t>
  </si>
  <si>
    <t>YTD Act Dec'25</t>
  </si>
  <si>
    <t>Full Year Projection FY:25-26</t>
  </si>
  <si>
    <t>Budget FY:26-27</t>
  </si>
  <si>
    <t>Budget 25-26</t>
  </si>
  <si>
    <t>Growth over FY26 Proj %</t>
  </si>
  <si>
    <t>OH Budget Summary FY'27 &amp; FY'26</t>
  </si>
  <si>
    <t>Note: All figures are fictional and for illustration only.</t>
  </si>
  <si>
    <t>Overheads FY’27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</si>
</sst>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5"/>
      <color rgb="FF000000"/>
      <name val="Times New Roman"/>
      <family val="1"/>
    </font>
    <font>
      <b/>
      <sz val="11"/>
      <name val="Calibri"/>
      <family val="2"/>
    </font>
    <font>
      <b/>
      <i/>
      <sz val="11"/>
      <color indexed="8"/>
      <name val="Calibri"/>
      <family val="2"/>
    </font>
    <font>
      <b/>
      <u/>
      <sz val="15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1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59987182226020086"/>
        <bgColor rgb="FFBFBFBF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</cellStyleXfs>
  <cellXfs count="86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43" fontId="4" fillId="0" borderId="1" xfId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5" fillId="0" borderId="0" xfId="0" applyNumberFormat="1" applyFont="1"/>
    <xf numFmtId="0" fontId="5" fillId="0" borderId="0" xfId="0" applyFont="1" applyAlignment="1">
      <alignment horizontal="center" vertical="center"/>
    </xf>
    <xf numFmtId="3" fontId="4" fillId="2" borderId="2" xfId="0" applyNumberFormat="1" applyFont="1" applyFill="1" applyBorder="1" applyAlignment="1">
      <alignment horizontal="centerContinuous"/>
    </xf>
    <xf numFmtId="3" fontId="4" fillId="2" borderId="3" xfId="0" applyNumberFormat="1" applyFont="1" applyFill="1" applyBorder="1" applyAlignment="1">
      <alignment horizontal="centerContinuous"/>
    </xf>
    <xf numFmtId="3" fontId="4" fillId="2" borderId="4" xfId="0" applyNumberFormat="1" applyFont="1" applyFill="1" applyBorder="1" applyAlignment="1">
      <alignment horizontal="centerContinuous"/>
    </xf>
    <xf numFmtId="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0" fontId="2" fillId="3" borderId="5" xfId="0" applyFont="1" applyFill="1" applyBorder="1" applyAlignment="1">
      <alignment horizontal="left" vertical="center" wrapText="1"/>
    </xf>
    <xf numFmtId="0" fontId="0" fillId="4" borderId="0" xfId="0" applyFill="1"/>
    <xf numFmtId="3" fontId="0" fillId="4" borderId="0" xfId="0" applyNumberFormat="1" applyFill="1"/>
    <xf numFmtId="3" fontId="5" fillId="4" borderId="0" xfId="0" applyNumberFormat="1" applyFont="1" applyFill="1"/>
    <xf numFmtId="9" fontId="0" fillId="4" borderId="0" xfId="2" applyFont="1" applyFill="1"/>
    <xf numFmtId="0" fontId="2" fillId="5" borderId="6" xfId="0" applyFont="1" applyFill="1" applyBorder="1"/>
    <xf numFmtId="3" fontId="2" fillId="5" borderId="6" xfId="0" applyNumberFormat="1" applyFont="1" applyFill="1" applyBorder="1"/>
    <xf numFmtId="9" fontId="2" fillId="5" borderId="6" xfId="2" applyFont="1" applyFill="1" applyBorder="1"/>
    <xf numFmtId="0" fontId="6" fillId="0" borderId="0" xfId="0" applyFont="1"/>
    <xf numFmtId="0" fontId="0" fillId="0" borderId="0" xfId="0" applyAlignment="1">
      <alignment horizontal="center"/>
    </xf>
    <xf numFmtId="0" fontId="7" fillId="6" borderId="7" xfId="0" applyFont="1" applyFill="1" applyBorder="1" applyAlignment="1">
      <alignment horizontal="center" vertical="center" wrapText="1"/>
    </xf>
    <xf numFmtId="3" fontId="0" fillId="0" borderId="7" xfId="0" applyNumberFormat="1" applyBorder="1"/>
    <xf numFmtId="0" fontId="8" fillId="6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64" fontId="0" fillId="0" borderId="9" xfId="0" applyNumberFormat="1" applyBorder="1" applyAlignment="1">
      <alignment horizontal="center" wrapText="1"/>
    </xf>
    <xf numFmtId="0" fontId="0" fillId="0" borderId="10" xfId="0" applyBorder="1"/>
    <xf numFmtId="0" fontId="0" fillId="0" borderId="8" xfId="0" applyBorder="1" applyAlignment="1">
      <alignment horizontal="center"/>
    </xf>
    <xf numFmtId="3" fontId="0" fillId="0" borderId="11" xfId="0" applyNumberFormat="1" applyBorder="1"/>
    <xf numFmtId="0" fontId="0" fillId="0" borderId="8" xfId="0" applyBorder="1"/>
    <xf numFmtId="0" fontId="0" fillId="0" borderId="9" xfId="0" applyBorder="1"/>
    <xf numFmtId="0" fontId="2" fillId="7" borderId="12" xfId="0" applyFont="1" applyFill="1" applyBorder="1" applyAlignment="1">
      <alignment wrapText="1"/>
    </xf>
    <xf numFmtId="164" fontId="2" fillId="7" borderId="13" xfId="0" applyNumberFormat="1" applyFont="1" applyFill="1" applyBorder="1" applyAlignment="1">
      <alignment horizontal="center" wrapText="1"/>
    </xf>
    <xf numFmtId="4" fontId="2" fillId="7" borderId="12" xfId="0" applyNumberFormat="1" applyFont="1" applyFill="1" applyBorder="1" applyAlignment="1">
      <alignment horizontal="center"/>
    </xf>
    <xf numFmtId="3" fontId="0" fillId="0" borderId="14" xfId="0" applyNumberFormat="1" applyBorder="1"/>
    <xf numFmtId="9" fontId="0" fillId="7" borderId="12" xfId="2" applyFont="1" applyFill="1" applyBorder="1"/>
    <xf numFmtId="0" fontId="0" fillId="0" borderId="13" xfId="0" applyBorder="1"/>
    <xf numFmtId="0" fontId="0" fillId="0" borderId="12" xfId="0" applyBorder="1" applyAlignment="1">
      <alignment wrapText="1"/>
    </xf>
    <xf numFmtId="164" fontId="0" fillId="0" borderId="13" xfId="0" applyNumberFormat="1" applyBorder="1" applyAlignment="1">
      <alignment horizontal="center" wrapText="1"/>
    </xf>
    <xf numFmtId="4" fontId="0" fillId="0" borderId="12" xfId="0" applyNumberFormat="1" applyBorder="1" applyAlignment="1">
      <alignment horizontal="center"/>
    </xf>
    <xf numFmtId="9" fontId="0" fillId="0" borderId="12" xfId="2" applyFont="1" applyBorder="1"/>
    <xf numFmtId="0" fontId="0" fillId="7" borderId="12" xfId="0" applyFill="1" applyBorder="1" applyAlignment="1">
      <alignment wrapText="1"/>
    </xf>
    <xf numFmtId="164" fontId="0" fillId="7" borderId="12" xfId="0" applyNumberFormat="1" applyFill="1" applyBorder="1" applyAlignment="1">
      <alignment horizontal="center" wrapText="1"/>
    </xf>
    <xf numFmtId="3" fontId="0" fillId="0" borderId="12" xfId="0" applyNumberFormat="1" applyBorder="1" applyAlignment="1">
      <alignment horizontal="center"/>
    </xf>
    <xf numFmtId="4" fontId="0" fillId="0" borderId="13" xfId="0" applyNumberFormat="1" applyBorder="1" applyAlignment="1">
      <alignment horizontal="center" wrapText="1"/>
    </xf>
    <xf numFmtId="164" fontId="0" fillId="7" borderId="13" xfId="0" applyNumberFormat="1" applyFill="1" applyBorder="1" applyAlignment="1">
      <alignment horizontal="center" wrapText="1"/>
    </xf>
    <xf numFmtId="9" fontId="0" fillId="7" borderId="12" xfId="2" applyFont="1" applyFill="1" applyBorder="1" applyAlignment="1">
      <alignment horizontal="right" wrapText="1"/>
    </xf>
    <xf numFmtId="0" fontId="0" fillId="0" borderId="12" xfId="0" applyBorder="1"/>
    <xf numFmtId="0" fontId="0" fillId="0" borderId="12" xfId="0" applyBorder="1" applyAlignment="1">
      <alignment horizontal="center"/>
    </xf>
    <xf numFmtId="3" fontId="0" fillId="0" borderId="13" xfId="0" applyNumberFormat="1" applyBorder="1" applyAlignment="1">
      <alignment horizontal="center" wrapText="1"/>
    </xf>
    <xf numFmtId="9" fontId="0" fillId="0" borderId="1" xfId="2" applyFont="1" applyBorder="1" applyAlignment="1">
      <alignment horizontal="center"/>
    </xf>
    <xf numFmtId="165" fontId="0" fillId="0" borderId="12" xfId="2" applyNumberFormat="1" applyFont="1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3" fontId="0" fillId="0" borderId="15" xfId="0" applyNumberFormat="1" applyBorder="1"/>
    <xf numFmtId="0" fontId="0" fillId="0" borderId="18" xfId="0" applyBorder="1"/>
    <xf numFmtId="0" fontId="0" fillId="0" borderId="19" xfId="0" applyBorder="1"/>
    <xf numFmtId="0" fontId="2" fillId="8" borderId="15" xfId="0" applyFont="1" applyFill="1" applyBorder="1" applyAlignment="1">
      <alignment wrapText="1"/>
    </xf>
    <xf numFmtId="9" fontId="2" fillId="8" borderId="16" xfId="2" applyFont="1" applyFill="1" applyBorder="1" applyAlignment="1" applyProtection="1">
      <alignment horizontal="center" wrapText="1"/>
    </xf>
    <xf numFmtId="0" fontId="0" fillId="0" borderId="7" xfId="0" applyBorder="1"/>
    <xf numFmtId="0" fontId="0" fillId="0" borderId="0" xfId="0" applyAlignment="1">
      <alignment wrapText="1"/>
    </xf>
    <xf numFmtId="3" fontId="0" fillId="0" borderId="0" xfId="1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10" fontId="0" fillId="0" borderId="1" xfId="2" applyNumberFormat="1" applyFont="1" applyBorder="1"/>
    <xf numFmtId="0" fontId="9" fillId="0" borderId="0" xfId="0" applyFont="1"/>
    <xf numFmtId="0" fontId="10" fillId="0" borderId="0" xfId="3"/>
    <xf numFmtId="0" fontId="11" fillId="0" borderId="1" xfId="0" applyFont="1" applyBorder="1" applyAlignment="1">
      <alignment horizontal="center" vertical="center" wrapText="1"/>
    </xf>
    <xf numFmtId="17" fontId="11" fillId="0" borderId="1" xfId="0" applyNumberFormat="1" applyFont="1" applyBorder="1" applyAlignment="1">
      <alignment horizontal="center" vertical="center" wrapText="1"/>
    </xf>
    <xf numFmtId="0" fontId="12" fillId="9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0" fontId="14" fillId="0" borderId="0" xfId="0" applyFont="1"/>
    <xf numFmtId="9" fontId="5" fillId="4" borderId="0" xfId="2" applyFont="1" applyFill="1"/>
    <xf numFmtId="9" fontId="4" fillId="5" borderId="6" xfId="2" applyFont="1" applyFill="1" applyBorder="1"/>
    <xf numFmtId="0" fontId="7" fillId="6" borderId="7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</cellXfs>
  <cellStyles count="4">
    <cellStyle name="Comma" xfId="1" builtinId="3"/>
    <cellStyle name="Normal" xfId="0" builtinId="0"/>
    <cellStyle name="Normal_Budget-25" xfId="3" xr:uid="{2AE76FD9-7673-4DD1-8BE4-E6D62B57F934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C3329-796D-41C9-A7D9-299FCBF2EECF}">
  <sheetPr codeName="Sheet1"/>
  <dimension ref="B1:L16"/>
  <sheetViews>
    <sheetView workbookViewId="0">
      <selection activeCell="D7" sqref="D7"/>
    </sheetView>
  </sheetViews>
  <sheetFormatPr defaultRowHeight="14.25" x14ac:dyDescent="0.45"/>
  <cols>
    <col min="2" max="2" width="29.19921875" bestFit="1" customWidth="1"/>
    <col min="7" max="7" width="7.3984375" customWidth="1"/>
  </cols>
  <sheetData>
    <row r="1" spans="2:12" x14ac:dyDescent="0.45">
      <c r="B1" s="79" t="s">
        <v>121</v>
      </c>
    </row>
    <row r="3" spans="2:12" ht="19.5" x14ac:dyDescent="0.6">
      <c r="B3" s="1" t="s">
        <v>72</v>
      </c>
    </row>
    <row r="4" spans="2:12" ht="19.5" x14ac:dyDescent="0.6">
      <c r="B4" s="72" t="s">
        <v>120</v>
      </c>
    </row>
    <row r="5" spans="2:12" ht="12.4" customHeight="1" x14ac:dyDescent="0.6">
      <c r="B5" s="72"/>
    </row>
    <row r="6" spans="2:12" ht="43.15" thickBot="1" x14ac:dyDescent="0.5">
      <c r="B6" s="13" t="s">
        <v>30</v>
      </c>
      <c r="C6" s="76" t="s">
        <v>115</v>
      </c>
      <c r="D6" s="76" t="s">
        <v>74</v>
      </c>
      <c r="E6" s="76" t="s">
        <v>116</v>
      </c>
      <c r="F6" s="76" t="s">
        <v>117</v>
      </c>
      <c r="G6" s="76" t="s">
        <v>118</v>
      </c>
      <c r="H6" s="76" t="s">
        <v>119</v>
      </c>
      <c r="I6" s="76" t="s">
        <v>31</v>
      </c>
      <c r="J6" s="76" t="s">
        <v>32</v>
      </c>
    </row>
    <row r="7" spans="2:12" x14ac:dyDescent="0.45">
      <c r="B7" s="14" t="s">
        <v>2</v>
      </c>
      <c r="C7" s="15">
        <f>SUMIFS('Budget-27'!I:I,'Budget-27'!A:A,'Bud27 vs Proj26'!B7)</f>
        <v>39000</v>
      </c>
      <c r="D7" s="15">
        <f>SUMIFS('Budget-27'!J:J,'Budget-27'!A:A,'Bud27 vs Proj26'!B7)</f>
        <v>24000</v>
      </c>
      <c r="E7" s="15">
        <f>C7+D7</f>
        <v>63000</v>
      </c>
      <c r="F7" s="16">
        <f>SUMIFS('Budget-27'!L:L,'Budget-27'!A:A,'Bud27 vs Proj26'!B7)</f>
        <v>61000</v>
      </c>
      <c r="G7" s="15">
        <f>SUMIFS('Budget-27'!G:G,'Budget-27'!A:A,'Bud27 vs Proj26'!B7)</f>
        <v>50000</v>
      </c>
      <c r="H7" s="17">
        <f t="shared" ref="H7:H16" si="0">(F7-E7)/E7</f>
        <v>-3.1746031746031744E-2</v>
      </c>
      <c r="I7" s="17">
        <f>(F7-G7)/G7</f>
        <v>0.22</v>
      </c>
      <c r="J7" s="14"/>
      <c r="L7" s="11"/>
    </row>
    <row r="8" spans="2:12" x14ac:dyDescent="0.45">
      <c r="B8" s="14" t="s">
        <v>3</v>
      </c>
      <c r="C8" s="15">
        <f>SUMIFS('Budget-27'!I:I,'Budget-27'!A:A,'Bud27 vs Proj26'!B8)</f>
        <v>20000</v>
      </c>
      <c r="D8" s="15">
        <f>SUMIFS('Budget-27'!J:J,'Budget-27'!A:A,'Bud27 vs Proj26'!B8)</f>
        <v>18000</v>
      </c>
      <c r="E8" s="15">
        <f t="shared" ref="E8:E15" si="1">C8+D8</f>
        <v>38000</v>
      </c>
      <c r="F8" s="16">
        <f>SUMIFS('Budget-27'!L:L,'Budget-27'!A:A,'Bud27 vs Proj26'!B8)</f>
        <v>30000</v>
      </c>
      <c r="G8" s="15">
        <f>SUMIFS('Budget-27'!G:G,'Budget-27'!A:A,'Bud27 vs Proj26'!B8)</f>
        <v>30000</v>
      </c>
      <c r="H8" s="17">
        <f t="shared" si="0"/>
        <v>-0.21052631578947367</v>
      </c>
      <c r="I8" s="80">
        <f t="shared" ref="I8:I16" si="2">(F8-G8)/G8</f>
        <v>0</v>
      </c>
      <c r="J8" s="14"/>
    </row>
    <row r="9" spans="2:12" x14ac:dyDescent="0.45">
      <c r="B9" s="14" t="s">
        <v>4</v>
      </c>
      <c r="C9" s="15">
        <f>SUMIFS('Budget-27'!I:I,'Budget-27'!A:A,'Bud27 vs Proj26'!B9)</f>
        <v>140000</v>
      </c>
      <c r="D9" s="15">
        <f>SUMIFS('Budget-27'!J:J,'Budget-27'!A:A,'Bud27 vs Proj26'!B9)</f>
        <v>-140000</v>
      </c>
      <c r="E9" s="15">
        <f t="shared" si="1"/>
        <v>0</v>
      </c>
      <c r="F9" s="16">
        <f>SUMIFS('Budget-27'!L:L,'Budget-27'!A:A,'Bud27 vs Proj26'!B9)</f>
        <v>0</v>
      </c>
      <c r="G9" s="15">
        <f>SUMIFS('Budget-27'!G:G,'Budget-27'!A:A,'Bud27 vs Proj26'!B9)</f>
        <v>0</v>
      </c>
      <c r="H9" s="17">
        <f>IFERROR((F9-E9)/E9,0)</f>
        <v>0</v>
      </c>
      <c r="I9" s="80"/>
      <c r="J9" s="14"/>
    </row>
    <row r="10" spans="2:12" x14ac:dyDescent="0.45">
      <c r="B10" s="14" t="s">
        <v>5</v>
      </c>
      <c r="C10" s="15">
        <f>SUMIFS('Budget-27'!I:I,'Budget-27'!A:A,'Bud27 vs Proj26'!B10)</f>
        <v>25000</v>
      </c>
      <c r="D10" s="15">
        <f>SUMIFS('Budget-27'!J:J,'Budget-27'!A:A,'Bud27 vs Proj26'!B10)</f>
        <v>5000</v>
      </c>
      <c r="E10" s="15">
        <f t="shared" si="1"/>
        <v>30000</v>
      </c>
      <c r="F10" s="16">
        <f>SUMIFS('Budget-27'!L:L,'Budget-27'!A:A,'Bud27 vs Proj26'!B10)</f>
        <v>33000</v>
      </c>
      <c r="G10" s="15">
        <f>SUMIFS('Budget-27'!G:G,'Budget-27'!A:A,'Bud27 vs Proj26'!B10)</f>
        <v>30000</v>
      </c>
      <c r="H10" s="17">
        <f t="shared" si="0"/>
        <v>0.1</v>
      </c>
      <c r="I10" s="80">
        <f>(F10-G10)/G10</f>
        <v>0.1</v>
      </c>
      <c r="J10" s="14"/>
    </row>
    <row r="11" spans="2:12" x14ac:dyDescent="0.45">
      <c r="B11" s="14" t="s">
        <v>6</v>
      </c>
      <c r="C11" s="15">
        <f>SUMIFS('Budget-27'!I:I,'Budget-27'!A:A,'Bud27 vs Proj26'!B11)</f>
        <v>106000</v>
      </c>
      <c r="D11" s="15">
        <f>SUMIFS('Budget-27'!J:J,'Budget-27'!A:A,'Bud27 vs Proj26'!B11)</f>
        <v>24000</v>
      </c>
      <c r="E11" s="15">
        <f t="shared" si="1"/>
        <v>130000</v>
      </c>
      <c r="F11" s="16">
        <f>SUMIFS('Budget-27'!L:L,'Budget-27'!A:A,'Bud27 vs Proj26'!B11)</f>
        <v>140000</v>
      </c>
      <c r="G11" s="15">
        <f>SUMIFS('Budget-27'!G:G,'Budget-27'!A:A,'Bud27 vs Proj26'!B11)</f>
        <v>210000</v>
      </c>
      <c r="H11" s="17">
        <f t="shared" si="0"/>
        <v>7.6923076923076927E-2</v>
      </c>
      <c r="I11" s="80">
        <f>(F11-G11)/G11</f>
        <v>-0.33333333333333331</v>
      </c>
      <c r="J11" s="14"/>
    </row>
    <row r="12" spans="2:12" x14ac:dyDescent="0.45">
      <c r="B12" s="14" t="s">
        <v>9</v>
      </c>
      <c r="C12" s="15">
        <f>SUMIFS('Budget-27'!I:I,'Budget-27'!A:A,'Bud27 vs Proj26'!B12)</f>
        <v>346000</v>
      </c>
      <c r="D12" s="15">
        <f>SUMIFS('Budget-27'!J:J,'Budget-27'!A:A,'Bud27 vs Proj26'!B12)</f>
        <v>111000</v>
      </c>
      <c r="E12" s="15">
        <f t="shared" si="1"/>
        <v>457000</v>
      </c>
      <c r="F12" s="16">
        <f>SUMIFS('Budget-27'!L:L,'Budget-27'!A:A,'Bud27 vs Proj26'!B12)</f>
        <v>440000</v>
      </c>
      <c r="G12" s="15">
        <f>SUMIFS('Budget-27'!G:G,'Budget-27'!A:A,'Bud27 vs Proj26'!B12)</f>
        <v>350000</v>
      </c>
      <c r="H12" s="17">
        <f t="shared" si="0"/>
        <v>-3.7199124726477024E-2</v>
      </c>
      <c r="I12" s="80">
        <f t="shared" si="2"/>
        <v>0.25714285714285712</v>
      </c>
      <c r="J12" s="14"/>
    </row>
    <row r="13" spans="2:12" x14ac:dyDescent="0.45">
      <c r="B13" s="14" t="s">
        <v>8</v>
      </c>
      <c r="C13" s="15">
        <f>SUMIFS('Budget-27'!I:I,'Budget-27'!A:A,'Bud27 vs Proj26'!B13)</f>
        <v>95000</v>
      </c>
      <c r="D13" s="15">
        <f>SUMIFS('Budget-27'!J:J,'Budget-27'!A:A,'Bud27 vs Proj26'!B13)</f>
        <v>39000</v>
      </c>
      <c r="E13" s="15">
        <f t="shared" si="1"/>
        <v>134000</v>
      </c>
      <c r="F13" s="16">
        <f>SUMIFS('Budget-27'!L:L,'Budget-27'!A:A,'Bud27 vs Proj26'!B13)</f>
        <v>200000</v>
      </c>
      <c r="G13" s="15">
        <f>SUMIFS('Budget-27'!G:G,'Budget-27'!A:A,'Bud27 vs Proj26'!B13)</f>
        <v>170000</v>
      </c>
      <c r="H13" s="17">
        <f t="shared" si="0"/>
        <v>0.4925373134328358</v>
      </c>
      <c r="I13" s="80">
        <f t="shared" si="2"/>
        <v>0.17647058823529413</v>
      </c>
      <c r="J13" s="14"/>
    </row>
    <row r="14" spans="2:12" x14ac:dyDescent="0.45">
      <c r="B14" s="14" t="s">
        <v>10</v>
      </c>
      <c r="C14" s="15">
        <f>SUMIFS('Budget-27'!I:I,'Budget-27'!A:A,'Bud27 vs Proj26'!B14)</f>
        <v>10000</v>
      </c>
      <c r="D14" s="15">
        <f>SUMIFS('Budget-27'!J:J,'Budget-27'!A:A,'Bud27 vs Proj26'!B14)</f>
        <v>10000</v>
      </c>
      <c r="E14" s="15">
        <f t="shared" si="1"/>
        <v>20000</v>
      </c>
      <c r="F14" s="16">
        <f>SUMIFS('Budget-27'!L:L,'Budget-27'!A:A,'Bud27 vs Proj26'!B14)</f>
        <v>5000</v>
      </c>
      <c r="G14" s="15">
        <f>SUMIFS('Budget-27'!G:G,'Budget-27'!A:A,'Bud27 vs Proj26'!B14)</f>
        <v>30000</v>
      </c>
      <c r="H14" s="17">
        <f t="shared" si="0"/>
        <v>-0.75</v>
      </c>
      <c r="I14" s="80">
        <f t="shared" si="2"/>
        <v>-0.83333333333333337</v>
      </c>
      <c r="J14" s="14"/>
    </row>
    <row r="15" spans="2:12" x14ac:dyDescent="0.45">
      <c r="B15" s="14" t="s">
        <v>11</v>
      </c>
      <c r="C15" s="15">
        <f>SUMIFS('Budget-27'!I:I,'Budget-27'!A:A,'Bud27 vs Proj26'!B15)</f>
        <v>30000</v>
      </c>
      <c r="D15" s="15">
        <f>SUMIFS('Budget-27'!J:J,'Budget-27'!A:A,'Bud27 vs Proj26'!B15)</f>
        <v>30000</v>
      </c>
      <c r="E15" s="15">
        <f t="shared" si="1"/>
        <v>60000</v>
      </c>
      <c r="F15" s="16">
        <f>SUMIFS('Budget-27'!L:L,'Budget-27'!A:A,'Bud27 vs Proj26'!B15)</f>
        <v>15000</v>
      </c>
      <c r="G15" s="15">
        <f>SUMIFS('Budget-27'!G:G,'Budget-27'!A:A,'Bud27 vs Proj26'!B15)</f>
        <v>38000</v>
      </c>
      <c r="H15" s="17">
        <f t="shared" si="0"/>
        <v>-0.75</v>
      </c>
      <c r="I15" s="80">
        <f t="shared" si="2"/>
        <v>-0.60526315789473684</v>
      </c>
      <c r="J15" s="14"/>
    </row>
    <row r="16" spans="2:12" x14ac:dyDescent="0.45">
      <c r="B16" s="18" t="s">
        <v>33</v>
      </c>
      <c r="C16" s="19">
        <f t="shared" ref="C16:G16" si="3">SUM(C7:C15)</f>
        <v>811000</v>
      </c>
      <c r="D16" s="19">
        <f t="shared" si="3"/>
        <v>121000</v>
      </c>
      <c r="E16" s="19">
        <f t="shared" si="3"/>
        <v>932000</v>
      </c>
      <c r="F16" s="19">
        <f t="shared" si="3"/>
        <v>924000</v>
      </c>
      <c r="G16" s="19">
        <f t="shared" si="3"/>
        <v>908000</v>
      </c>
      <c r="H16" s="20">
        <f t="shared" si="0"/>
        <v>-8.5836909871244635E-3</v>
      </c>
      <c r="I16" s="81">
        <f t="shared" si="2"/>
        <v>1.7621145374449341E-2</v>
      </c>
      <c r="J16" s="2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68CDB-E161-41A6-B4A9-7AA5F94278B4}">
  <sheetPr codeName="Sheet2"/>
  <dimension ref="A1:X53"/>
  <sheetViews>
    <sheetView workbookViewId="0">
      <selection activeCell="F11" sqref="F11"/>
    </sheetView>
  </sheetViews>
  <sheetFormatPr defaultRowHeight="14.25" x14ac:dyDescent="0.45"/>
  <cols>
    <col min="1" max="1" width="31.53125" bestFit="1" customWidth="1"/>
    <col min="3" max="3" width="18.73046875" bestFit="1" customWidth="1"/>
    <col min="6" max="9" width="9.73046875" bestFit="1" customWidth="1"/>
    <col min="10" max="10" width="10.33203125" bestFit="1" customWidth="1"/>
    <col min="11" max="12" width="9.6640625" bestFit="1" customWidth="1"/>
    <col min="13" max="24" width="9.1328125" bestFit="1" customWidth="1"/>
  </cols>
  <sheetData>
    <row r="1" spans="1:24" x14ac:dyDescent="0.45">
      <c r="A1" s="79" t="str">
        <f>'Bud27 vs Proj26'!B1</f>
        <v>Note: All figures are fictional and for illustration only.</v>
      </c>
    </row>
    <row r="2" spans="1:24" x14ac:dyDescent="0.45">
      <c r="A2" s="79"/>
    </row>
    <row r="3" spans="1:24" ht="19.5" x14ac:dyDescent="0.6">
      <c r="A3" s="1" t="s">
        <v>0</v>
      </c>
      <c r="F3" s="5">
        <f t="shared" ref="F3:G3" si="0">SUBTOTAL(9,F6:F52)</f>
        <v>728000</v>
      </c>
      <c r="G3" s="5">
        <f t="shared" si="0"/>
        <v>908000</v>
      </c>
      <c r="H3" s="5"/>
      <c r="I3" s="5">
        <f>SUBTOTAL(9,I6:I52)</f>
        <v>811000</v>
      </c>
      <c r="J3" s="5">
        <f>SUBTOTAL(9,J6:J52)</f>
        <v>121000</v>
      </c>
      <c r="K3" s="5">
        <f>SUBTOTAL(9,K6:K52)</f>
        <v>932000</v>
      </c>
      <c r="L3" s="5">
        <f>SUBTOTAL(9,L6:L52)</f>
        <v>924000</v>
      </c>
      <c r="M3" s="6" t="s">
        <v>26</v>
      </c>
      <c r="N3" s="6" t="s">
        <v>26</v>
      </c>
      <c r="O3" s="6" t="s">
        <v>26</v>
      </c>
      <c r="P3" s="6" t="s">
        <v>27</v>
      </c>
      <c r="Q3" s="6" t="s">
        <v>27</v>
      </c>
      <c r="R3" s="6" t="s">
        <v>27</v>
      </c>
      <c r="S3" s="6" t="s">
        <v>28</v>
      </c>
      <c r="T3" s="6" t="s">
        <v>28</v>
      </c>
      <c r="U3" s="6" t="s">
        <v>28</v>
      </c>
      <c r="V3" s="6" t="s">
        <v>29</v>
      </c>
      <c r="W3" s="6" t="s">
        <v>29</v>
      </c>
      <c r="X3" s="6" t="s">
        <v>29</v>
      </c>
    </row>
    <row r="4" spans="1:24" x14ac:dyDescent="0.45">
      <c r="F4" s="9" t="s">
        <v>73</v>
      </c>
      <c r="G4" s="7"/>
      <c r="H4" s="7"/>
      <c r="I4" s="7"/>
      <c r="J4" s="7"/>
      <c r="K4" s="7"/>
      <c r="L4" s="8"/>
      <c r="M4" s="77">
        <v>2026.01</v>
      </c>
      <c r="N4" s="77">
        <v>2026.02</v>
      </c>
      <c r="O4" s="77">
        <v>2026.03</v>
      </c>
      <c r="P4" s="77">
        <v>2026.04</v>
      </c>
      <c r="Q4" s="77">
        <v>2026.05</v>
      </c>
      <c r="R4" s="77">
        <v>2026.06</v>
      </c>
      <c r="S4" s="77">
        <v>2026.07</v>
      </c>
      <c r="T4" s="77">
        <v>2026.08</v>
      </c>
      <c r="U4" s="77">
        <v>2026.09</v>
      </c>
      <c r="V4" s="78">
        <v>2026.1</v>
      </c>
      <c r="W4" s="77">
        <v>2026.11</v>
      </c>
      <c r="X4" s="77">
        <v>2026.12</v>
      </c>
    </row>
    <row r="5" spans="1:24" ht="42.75" x14ac:dyDescent="0.45">
      <c r="A5" s="3" t="s">
        <v>1</v>
      </c>
      <c r="B5" s="2" t="s">
        <v>12</v>
      </c>
      <c r="C5" s="4" t="s">
        <v>13</v>
      </c>
      <c r="D5" s="4" t="s">
        <v>14</v>
      </c>
      <c r="E5" s="2" t="s">
        <v>25</v>
      </c>
      <c r="F5" s="74" t="s">
        <v>75</v>
      </c>
      <c r="G5" s="74" t="s">
        <v>76</v>
      </c>
      <c r="H5" s="74" t="s">
        <v>77</v>
      </c>
      <c r="I5" s="74" t="s">
        <v>78</v>
      </c>
      <c r="J5" s="74" t="s">
        <v>74</v>
      </c>
      <c r="K5" s="74" t="s">
        <v>79</v>
      </c>
      <c r="L5" s="74" t="s">
        <v>80</v>
      </c>
      <c r="M5" s="75">
        <v>46135</v>
      </c>
      <c r="N5" s="75">
        <v>46165</v>
      </c>
      <c r="O5" s="75">
        <v>46196</v>
      </c>
      <c r="P5" s="75">
        <v>46226</v>
      </c>
      <c r="Q5" s="75">
        <v>46257</v>
      </c>
      <c r="R5" s="75">
        <v>46288</v>
      </c>
      <c r="S5" s="75">
        <v>46318</v>
      </c>
      <c r="T5" s="75">
        <v>46349</v>
      </c>
      <c r="U5" s="75">
        <v>46379</v>
      </c>
      <c r="V5" s="75">
        <v>46410</v>
      </c>
      <c r="W5" s="75">
        <v>46441</v>
      </c>
      <c r="X5" s="75">
        <v>46469</v>
      </c>
    </row>
    <row r="6" spans="1:24" x14ac:dyDescent="0.45">
      <c r="A6" t="s">
        <v>2</v>
      </c>
      <c r="C6" s="73" t="s">
        <v>81</v>
      </c>
      <c r="F6" s="11">
        <v>5000</v>
      </c>
      <c r="G6" s="11">
        <v>10000</v>
      </c>
      <c r="H6" s="11">
        <v>4000</v>
      </c>
      <c r="I6" s="11">
        <v>6000</v>
      </c>
      <c r="J6" s="11">
        <v>4000</v>
      </c>
      <c r="K6" s="5">
        <v>10000</v>
      </c>
      <c r="L6" s="5">
        <v>10000</v>
      </c>
      <c r="M6" s="5">
        <f>$L$6/12</f>
        <v>833.33333333333337</v>
      </c>
      <c r="N6" s="5">
        <f t="shared" ref="N6:X6" si="1">$L$6/12</f>
        <v>833.33333333333337</v>
      </c>
      <c r="O6" s="5">
        <f t="shared" si="1"/>
        <v>833.33333333333337</v>
      </c>
      <c r="P6" s="5">
        <f t="shared" si="1"/>
        <v>833.33333333333337</v>
      </c>
      <c r="Q6" s="5">
        <f t="shared" si="1"/>
        <v>833.33333333333337</v>
      </c>
      <c r="R6" s="5">
        <f t="shared" si="1"/>
        <v>833.33333333333337</v>
      </c>
      <c r="S6" s="5">
        <f t="shared" si="1"/>
        <v>833.33333333333337</v>
      </c>
      <c r="T6" s="5">
        <f t="shared" si="1"/>
        <v>833.33333333333337</v>
      </c>
      <c r="U6" s="5">
        <f t="shared" si="1"/>
        <v>833.33333333333337</v>
      </c>
      <c r="V6" s="5">
        <f t="shared" si="1"/>
        <v>833.33333333333337</v>
      </c>
      <c r="W6" s="5">
        <f t="shared" si="1"/>
        <v>833.33333333333337</v>
      </c>
      <c r="X6" s="5">
        <f t="shared" si="1"/>
        <v>833.33333333333337</v>
      </c>
    </row>
    <row r="7" spans="1:24" x14ac:dyDescent="0.45">
      <c r="A7" t="s">
        <v>2</v>
      </c>
      <c r="C7" s="73" t="s">
        <v>82</v>
      </c>
      <c r="F7" s="11">
        <v>0</v>
      </c>
      <c r="G7" s="11">
        <v>10000</v>
      </c>
      <c r="H7" s="11">
        <v>0</v>
      </c>
      <c r="I7" s="11">
        <v>3000</v>
      </c>
      <c r="J7" s="11">
        <v>8000</v>
      </c>
      <c r="K7" s="5">
        <v>11000</v>
      </c>
      <c r="L7" s="5">
        <v>10000</v>
      </c>
      <c r="M7" s="5">
        <f>$L$7/12</f>
        <v>833.33333333333337</v>
      </c>
      <c r="N7" s="5">
        <f t="shared" ref="N7:X7" si="2">$L$7/12</f>
        <v>833.33333333333337</v>
      </c>
      <c r="O7" s="5">
        <f t="shared" si="2"/>
        <v>833.33333333333337</v>
      </c>
      <c r="P7" s="5">
        <f t="shared" si="2"/>
        <v>833.33333333333337</v>
      </c>
      <c r="Q7" s="5">
        <f t="shared" si="2"/>
        <v>833.33333333333337</v>
      </c>
      <c r="R7" s="5">
        <f t="shared" si="2"/>
        <v>833.33333333333337</v>
      </c>
      <c r="S7" s="5">
        <f t="shared" si="2"/>
        <v>833.33333333333337</v>
      </c>
      <c r="T7" s="5">
        <f t="shared" si="2"/>
        <v>833.33333333333337</v>
      </c>
      <c r="U7" s="5">
        <f t="shared" si="2"/>
        <v>833.33333333333337</v>
      </c>
      <c r="V7" s="5">
        <f t="shared" si="2"/>
        <v>833.33333333333337</v>
      </c>
      <c r="W7" s="5">
        <f t="shared" si="2"/>
        <v>833.33333333333337</v>
      </c>
      <c r="X7" s="5">
        <f t="shared" si="2"/>
        <v>833.33333333333337</v>
      </c>
    </row>
    <row r="8" spans="1:24" x14ac:dyDescent="0.45">
      <c r="A8" t="s">
        <v>2</v>
      </c>
      <c r="C8" s="73" t="s">
        <v>83</v>
      </c>
      <c r="F8" s="11">
        <v>15000</v>
      </c>
      <c r="G8" s="11">
        <v>0</v>
      </c>
      <c r="H8" s="11">
        <v>4000</v>
      </c>
      <c r="I8" s="11">
        <v>9000</v>
      </c>
      <c r="J8" s="11">
        <v>0</v>
      </c>
      <c r="K8" s="5">
        <v>9000</v>
      </c>
      <c r="L8" s="5">
        <v>0</v>
      </c>
      <c r="M8" s="5">
        <f>$L$8/12</f>
        <v>0</v>
      </c>
      <c r="N8" s="5">
        <f t="shared" ref="N8:X8" si="3">$L$8/12</f>
        <v>0</v>
      </c>
      <c r="O8" s="5">
        <f t="shared" si="3"/>
        <v>0</v>
      </c>
      <c r="P8" s="5">
        <f t="shared" si="3"/>
        <v>0</v>
      </c>
      <c r="Q8" s="5">
        <f t="shared" si="3"/>
        <v>0</v>
      </c>
      <c r="R8" s="5">
        <f t="shared" si="3"/>
        <v>0</v>
      </c>
      <c r="S8" s="5">
        <f t="shared" si="3"/>
        <v>0</v>
      </c>
      <c r="T8" s="5">
        <f t="shared" si="3"/>
        <v>0</v>
      </c>
      <c r="U8" s="5">
        <f t="shared" si="3"/>
        <v>0</v>
      </c>
      <c r="V8" s="5">
        <f t="shared" si="3"/>
        <v>0</v>
      </c>
      <c r="W8" s="5">
        <f t="shared" si="3"/>
        <v>0</v>
      </c>
      <c r="X8" s="5">
        <f t="shared" si="3"/>
        <v>0</v>
      </c>
    </row>
    <row r="9" spans="1:24" x14ac:dyDescent="0.45">
      <c r="A9" t="s">
        <v>2</v>
      </c>
      <c r="C9" s="73" t="s">
        <v>84</v>
      </c>
      <c r="F9" s="11">
        <v>0</v>
      </c>
      <c r="G9" s="11">
        <v>0</v>
      </c>
      <c r="H9" s="11">
        <v>0</v>
      </c>
      <c r="I9" s="11">
        <v>2000</v>
      </c>
      <c r="J9" s="11">
        <v>0</v>
      </c>
      <c r="K9" s="5">
        <v>2000</v>
      </c>
      <c r="L9" s="5">
        <v>6000</v>
      </c>
      <c r="M9" s="5">
        <f>$L$9/12</f>
        <v>500</v>
      </c>
      <c r="N9" s="5">
        <f t="shared" ref="N9:X9" si="4">$L$9/12</f>
        <v>500</v>
      </c>
      <c r="O9" s="5">
        <f t="shared" si="4"/>
        <v>500</v>
      </c>
      <c r="P9" s="5">
        <f t="shared" si="4"/>
        <v>500</v>
      </c>
      <c r="Q9" s="5">
        <f t="shared" si="4"/>
        <v>500</v>
      </c>
      <c r="R9" s="5">
        <f t="shared" si="4"/>
        <v>500</v>
      </c>
      <c r="S9" s="5">
        <f t="shared" si="4"/>
        <v>500</v>
      </c>
      <c r="T9" s="5">
        <f t="shared" si="4"/>
        <v>500</v>
      </c>
      <c r="U9" s="5">
        <f t="shared" si="4"/>
        <v>500</v>
      </c>
      <c r="V9" s="5">
        <f t="shared" si="4"/>
        <v>500</v>
      </c>
      <c r="W9" s="5">
        <f t="shared" si="4"/>
        <v>500</v>
      </c>
      <c r="X9" s="5">
        <f t="shared" si="4"/>
        <v>500</v>
      </c>
    </row>
    <row r="10" spans="1:24" x14ac:dyDescent="0.45">
      <c r="A10" t="s">
        <v>2</v>
      </c>
      <c r="C10" s="73" t="s">
        <v>85</v>
      </c>
      <c r="F10" s="11">
        <v>8000</v>
      </c>
      <c r="G10" s="11">
        <v>10000</v>
      </c>
      <c r="H10" s="11">
        <v>6000</v>
      </c>
      <c r="I10" s="11">
        <v>1000</v>
      </c>
      <c r="J10" s="11">
        <v>1000</v>
      </c>
      <c r="K10" s="5">
        <v>2000</v>
      </c>
      <c r="L10" s="5">
        <v>4000</v>
      </c>
      <c r="M10" s="5">
        <f t="shared" ref="M10:X25" si="5">$L10/12</f>
        <v>333.33333333333331</v>
      </c>
      <c r="N10" s="5">
        <f t="shared" si="5"/>
        <v>333.33333333333331</v>
      </c>
      <c r="O10" s="5">
        <f t="shared" si="5"/>
        <v>333.33333333333331</v>
      </c>
      <c r="P10" s="5">
        <f t="shared" si="5"/>
        <v>333.33333333333331</v>
      </c>
      <c r="Q10" s="5">
        <f t="shared" si="5"/>
        <v>333.33333333333331</v>
      </c>
      <c r="R10" s="5">
        <f t="shared" si="5"/>
        <v>333.33333333333331</v>
      </c>
      <c r="S10" s="5">
        <f t="shared" si="5"/>
        <v>333.33333333333331</v>
      </c>
      <c r="T10" s="5">
        <f t="shared" si="5"/>
        <v>333.33333333333331</v>
      </c>
      <c r="U10" s="5">
        <f t="shared" si="5"/>
        <v>333.33333333333331</v>
      </c>
      <c r="V10" s="5">
        <f t="shared" si="5"/>
        <v>333.33333333333331</v>
      </c>
      <c r="W10" s="5">
        <f t="shared" si="5"/>
        <v>333.33333333333331</v>
      </c>
      <c r="X10" s="5">
        <f t="shared" si="5"/>
        <v>333.33333333333331</v>
      </c>
    </row>
    <row r="11" spans="1:24" x14ac:dyDescent="0.45">
      <c r="A11" t="s">
        <v>2</v>
      </c>
      <c r="C11" s="73" t="s">
        <v>86</v>
      </c>
      <c r="F11" s="11">
        <v>9000</v>
      </c>
      <c r="G11" s="11">
        <v>10000</v>
      </c>
      <c r="H11" s="11">
        <v>7000</v>
      </c>
      <c r="I11" s="11">
        <v>7000</v>
      </c>
      <c r="J11" s="11">
        <v>4000</v>
      </c>
      <c r="K11" s="5">
        <v>11000</v>
      </c>
      <c r="L11" s="5">
        <v>10000</v>
      </c>
      <c r="M11" s="5">
        <f t="shared" si="5"/>
        <v>833.33333333333337</v>
      </c>
      <c r="N11" s="5">
        <f t="shared" si="5"/>
        <v>833.33333333333337</v>
      </c>
      <c r="O11" s="5">
        <f t="shared" si="5"/>
        <v>833.33333333333337</v>
      </c>
      <c r="P11" s="5">
        <f t="shared" si="5"/>
        <v>833.33333333333337</v>
      </c>
      <c r="Q11" s="5">
        <f t="shared" si="5"/>
        <v>833.33333333333337</v>
      </c>
      <c r="R11" s="5">
        <f t="shared" si="5"/>
        <v>833.33333333333337</v>
      </c>
      <c r="S11" s="5">
        <f t="shared" si="5"/>
        <v>833.33333333333337</v>
      </c>
      <c r="T11" s="5">
        <f t="shared" si="5"/>
        <v>833.33333333333337</v>
      </c>
      <c r="U11" s="5">
        <f t="shared" si="5"/>
        <v>833.33333333333337</v>
      </c>
      <c r="V11" s="5">
        <f t="shared" si="5"/>
        <v>833.33333333333337</v>
      </c>
      <c r="W11" s="5">
        <f t="shared" si="5"/>
        <v>833.33333333333337</v>
      </c>
      <c r="X11" s="5">
        <f t="shared" si="5"/>
        <v>833.33333333333337</v>
      </c>
    </row>
    <row r="12" spans="1:24" x14ac:dyDescent="0.45">
      <c r="A12" t="s">
        <v>2</v>
      </c>
      <c r="C12" s="73" t="s">
        <v>87</v>
      </c>
      <c r="F12" s="11">
        <v>0</v>
      </c>
      <c r="G12" s="11">
        <v>0</v>
      </c>
      <c r="H12" s="11">
        <v>0</v>
      </c>
      <c r="I12" s="11">
        <v>1000</v>
      </c>
      <c r="J12" s="11">
        <v>0</v>
      </c>
      <c r="K12" s="5">
        <v>1000</v>
      </c>
      <c r="L12" s="5">
        <v>4000</v>
      </c>
      <c r="M12" s="5">
        <f t="shared" si="5"/>
        <v>333.33333333333331</v>
      </c>
      <c r="N12" s="5">
        <f t="shared" si="5"/>
        <v>333.33333333333331</v>
      </c>
      <c r="O12" s="5">
        <f t="shared" si="5"/>
        <v>333.33333333333331</v>
      </c>
      <c r="P12" s="5">
        <f t="shared" si="5"/>
        <v>333.33333333333331</v>
      </c>
      <c r="Q12" s="5">
        <f t="shared" si="5"/>
        <v>333.33333333333331</v>
      </c>
      <c r="R12" s="5">
        <f t="shared" si="5"/>
        <v>333.33333333333331</v>
      </c>
      <c r="S12" s="5">
        <f t="shared" si="5"/>
        <v>333.33333333333331</v>
      </c>
      <c r="T12" s="5">
        <f t="shared" si="5"/>
        <v>333.33333333333331</v>
      </c>
      <c r="U12" s="5">
        <f t="shared" si="5"/>
        <v>333.33333333333331</v>
      </c>
      <c r="V12" s="5">
        <f t="shared" si="5"/>
        <v>333.33333333333331</v>
      </c>
      <c r="W12" s="5">
        <f t="shared" si="5"/>
        <v>333.33333333333331</v>
      </c>
      <c r="X12" s="5">
        <f t="shared" si="5"/>
        <v>333.33333333333331</v>
      </c>
    </row>
    <row r="13" spans="1:24" x14ac:dyDescent="0.45">
      <c r="A13" t="s">
        <v>2</v>
      </c>
      <c r="C13" s="73" t="s">
        <v>88</v>
      </c>
      <c r="F13" s="11">
        <v>0</v>
      </c>
      <c r="G13" s="11">
        <v>0</v>
      </c>
      <c r="H13" s="11">
        <v>0</v>
      </c>
      <c r="I13" s="11">
        <v>5000</v>
      </c>
      <c r="J13" s="11">
        <v>0</v>
      </c>
      <c r="K13" s="5">
        <v>5000</v>
      </c>
      <c r="L13" s="5">
        <v>7000</v>
      </c>
      <c r="M13" s="5">
        <f t="shared" si="5"/>
        <v>583.33333333333337</v>
      </c>
      <c r="N13" s="5">
        <f t="shared" si="5"/>
        <v>583.33333333333337</v>
      </c>
      <c r="O13" s="5">
        <f t="shared" si="5"/>
        <v>583.33333333333337</v>
      </c>
      <c r="P13" s="5">
        <f t="shared" si="5"/>
        <v>583.33333333333337</v>
      </c>
      <c r="Q13" s="5">
        <f t="shared" si="5"/>
        <v>583.33333333333337</v>
      </c>
      <c r="R13" s="5">
        <f t="shared" si="5"/>
        <v>583.33333333333337</v>
      </c>
      <c r="S13" s="5">
        <f t="shared" si="5"/>
        <v>583.33333333333337</v>
      </c>
      <c r="T13" s="5">
        <f t="shared" si="5"/>
        <v>583.33333333333337</v>
      </c>
      <c r="U13" s="5">
        <f t="shared" si="5"/>
        <v>583.33333333333337</v>
      </c>
      <c r="V13" s="5">
        <f t="shared" si="5"/>
        <v>583.33333333333337</v>
      </c>
      <c r="W13" s="5">
        <f t="shared" si="5"/>
        <v>583.33333333333337</v>
      </c>
      <c r="X13" s="5">
        <f t="shared" si="5"/>
        <v>583.33333333333337</v>
      </c>
    </row>
    <row r="14" spans="1:24" x14ac:dyDescent="0.45">
      <c r="A14" t="s">
        <v>2</v>
      </c>
      <c r="C14" s="73" t="s">
        <v>89</v>
      </c>
      <c r="F14" s="11">
        <v>4000</v>
      </c>
      <c r="G14" s="11">
        <v>10000</v>
      </c>
      <c r="H14" s="11">
        <v>6000</v>
      </c>
      <c r="I14" s="11">
        <v>5000</v>
      </c>
      <c r="J14" s="11">
        <v>7000</v>
      </c>
      <c r="K14" s="5">
        <v>12000</v>
      </c>
      <c r="L14" s="5">
        <v>10000</v>
      </c>
      <c r="M14" s="5">
        <f t="shared" si="5"/>
        <v>833.33333333333337</v>
      </c>
      <c r="N14" s="5">
        <f t="shared" si="5"/>
        <v>833.33333333333337</v>
      </c>
      <c r="O14" s="5">
        <f t="shared" si="5"/>
        <v>833.33333333333337</v>
      </c>
      <c r="P14" s="5">
        <f t="shared" si="5"/>
        <v>833.33333333333337</v>
      </c>
      <c r="Q14" s="5">
        <f t="shared" si="5"/>
        <v>833.33333333333337</v>
      </c>
      <c r="R14" s="5">
        <f t="shared" si="5"/>
        <v>833.33333333333337</v>
      </c>
      <c r="S14" s="5">
        <f t="shared" si="5"/>
        <v>833.33333333333337</v>
      </c>
      <c r="T14" s="5">
        <f t="shared" si="5"/>
        <v>833.33333333333337</v>
      </c>
      <c r="U14" s="5">
        <f t="shared" si="5"/>
        <v>833.33333333333337</v>
      </c>
      <c r="V14" s="5">
        <f t="shared" si="5"/>
        <v>833.33333333333337</v>
      </c>
      <c r="W14" s="5">
        <f t="shared" si="5"/>
        <v>833.33333333333337</v>
      </c>
      <c r="X14" s="5">
        <f t="shared" si="5"/>
        <v>833.33333333333337</v>
      </c>
    </row>
    <row r="15" spans="1:24" x14ac:dyDescent="0.45">
      <c r="A15" t="s">
        <v>3</v>
      </c>
      <c r="C15" s="73" t="s">
        <v>15</v>
      </c>
      <c r="F15" s="11">
        <v>9000</v>
      </c>
      <c r="G15" s="11">
        <v>10000</v>
      </c>
      <c r="H15" s="11">
        <v>9000</v>
      </c>
      <c r="I15" s="11">
        <v>6000</v>
      </c>
      <c r="J15" s="11">
        <v>7000</v>
      </c>
      <c r="K15" s="5">
        <v>13000</v>
      </c>
      <c r="L15" s="5">
        <v>10000</v>
      </c>
      <c r="M15" s="5">
        <f t="shared" si="5"/>
        <v>833.33333333333337</v>
      </c>
      <c r="N15" s="5">
        <f t="shared" si="5"/>
        <v>833.33333333333337</v>
      </c>
      <c r="O15" s="5">
        <f t="shared" si="5"/>
        <v>833.33333333333337</v>
      </c>
      <c r="P15" s="5">
        <f t="shared" si="5"/>
        <v>833.33333333333337</v>
      </c>
      <c r="Q15" s="5">
        <f t="shared" si="5"/>
        <v>833.33333333333337</v>
      </c>
      <c r="R15" s="5">
        <f t="shared" si="5"/>
        <v>833.33333333333337</v>
      </c>
      <c r="S15" s="5">
        <f t="shared" si="5"/>
        <v>833.33333333333337</v>
      </c>
      <c r="T15" s="5">
        <f t="shared" si="5"/>
        <v>833.33333333333337</v>
      </c>
      <c r="U15" s="5">
        <f t="shared" si="5"/>
        <v>833.33333333333337</v>
      </c>
      <c r="V15" s="5">
        <f t="shared" si="5"/>
        <v>833.33333333333337</v>
      </c>
      <c r="W15" s="5">
        <f t="shared" si="5"/>
        <v>833.33333333333337</v>
      </c>
      <c r="X15" s="5">
        <f t="shared" si="5"/>
        <v>833.33333333333337</v>
      </c>
    </row>
    <row r="16" spans="1:24" x14ac:dyDescent="0.45">
      <c r="A16" t="s">
        <v>3</v>
      </c>
      <c r="C16" s="73" t="s">
        <v>90</v>
      </c>
      <c r="F16" s="11">
        <v>2000</v>
      </c>
      <c r="G16" s="11">
        <v>10000</v>
      </c>
      <c r="H16" s="11">
        <v>8000</v>
      </c>
      <c r="I16" s="11">
        <v>9000</v>
      </c>
      <c r="J16" s="11">
        <v>2000</v>
      </c>
      <c r="K16" s="5">
        <v>11000</v>
      </c>
      <c r="L16" s="5">
        <v>10000</v>
      </c>
      <c r="M16" s="5">
        <f t="shared" si="5"/>
        <v>833.33333333333337</v>
      </c>
      <c r="N16" s="5">
        <f t="shared" si="5"/>
        <v>833.33333333333337</v>
      </c>
      <c r="O16" s="5">
        <f t="shared" si="5"/>
        <v>833.33333333333337</v>
      </c>
      <c r="P16" s="5">
        <f t="shared" si="5"/>
        <v>833.33333333333337</v>
      </c>
      <c r="Q16" s="5">
        <f t="shared" si="5"/>
        <v>833.33333333333337</v>
      </c>
      <c r="R16" s="5">
        <f t="shared" si="5"/>
        <v>833.33333333333337</v>
      </c>
      <c r="S16" s="5">
        <f t="shared" si="5"/>
        <v>833.33333333333337</v>
      </c>
      <c r="T16" s="5">
        <f t="shared" si="5"/>
        <v>833.33333333333337</v>
      </c>
      <c r="U16" s="5">
        <f t="shared" si="5"/>
        <v>833.33333333333337</v>
      </c>
      <c r="V16" s="5">
        <f t="shared" si="5"/>
        <v>833.33333333333337</v>
      </c>
      <c r="W16" s="5">
        <f t="shared" si="5"/>
        <v>833.33333333333337</v>
      </c>
      <c r="X16" s="5">
        <f t="shared" si="5"/>
        <v>833.33333333333337</v>
      </c>
    </row>
    <row r="17" spans="1:24" x14ac:dyDescent="0.45">
      <c r="A17" t="s">
        <v>3</v>
      </c>
      <c r="C17" s="73" t="s">
        <v>16</v>
      </c>
      <c r="F17" s="11">
        <v>9000</v>
      </c>
      <c r="G17" s="11">
        <v>10000</v>
      </c>
      <c r="H17" s="11">
        <v>4000</v>
      </c>
      <c r="I17" s="11">
        <v>5000</v>
      </c>
      <c r="J17" s="11">
        <v>9000</v>
      </c>
      <c r="K17" s="5">
        <v>14000</v>
      </c>
      <c r="L17" s="5">
        <v>10000</v>
      </c>
      <c r="M17" s="5">
        <f t="shared" si="5"/>
        <v>833.33333333333337</v>
      </c>
      <c r="N17" s="5">
        <f t="shared" si="5"/>
        <v>833.33333333333337</v>
      </c>
      <c r="O17" s="5">
        <f t="shared" si="5"/>
        <v>833.33333333333337</v>
      </c>
      <c r="P17" s="5">
        <f t="shared" si="5"/>
        <v>833.33333333333337</v>
      </c>
      <c r="Q17" s="5">
        <f t="shared" si="5"/>
        <v>833.33333333333337</v>
      </c>
      <c r="R17" s="5">
        <f t="shared" si="5"/>
        <v>833.33333333333337</v>
      </c>
      <c r="S17" s="5">
        <f t="shared" si="5"/>
        <v>833.33333333333337</v>
      </c>
      <c r="T17" s="5">
        <f t="shared" si="5"/>
        <v>833.33333333333337</v>
      </c>
      <c r="U17" s="5">
        <f t="shared" si="5"/>
        <v>833.33333333333337</v>
      </c>
      <c r="V17" s="5">
        <f t="shared" si="5"/>
        <v>833.33333333333337</v>
      </c>
      <c r="W17" s="5">
        <f t="shared" si="5"/>
        <v>833.33333333333337</v>
      </c>
      <c r="X17" s="5">
        <f t="shared" si="5"/>
        <v>833.33333333333337</v>
      </c>
    </row>
    <row r="18" spans="1:24" x14ac:dyDescent="0.45">
      <c r="A18" t="s">
        <v>4</v>
      </c>
      <c r="C18" s="73" t="s">
        <v>17</v>
      </c>
      <c r="F18" s="11">
        <v>60000</v>
      </c>
      <c r="G18" s="11">
        <v>0</v>
      </c>
      <c r="H18" s="11">
        <v>40000</v>
      </c>
      <c r="I18" s="11">
        <v>140000</v>
      </c>
      <c r="J18" s="11">
        <v>-140000</v>
      </c>
      <c r="K18" s="5">
        <v>0</v>
      </c>
      <c r="L18" s="5">
        <v>0</v>
      </c>
      <c r="M18" s="5">
        <f t="shared" si="5"/>
        <v>0</v>
      </c>
      <c r="N18" s="5">
        <f t="shared" si="5"/>
        <v>0</v>
      </c>
      <c r="O18" s="5">
        <f t="shared" si="5"/>
        <v>0</v>
      </c>
      <c r="P18" s="5">
        <f t="shared" si="5"/>
        <v>0</v>
      </c>
      <c r="Q18" s="5">
        <f t="shared" si="5"/>
        <v>0</v>
      </c>
      <c r="R18" s="5">
        <f t="shared" si="5"/>
        <v>0</v>
      </c>
      <c r="S18" s="5">
        <f t="shared" si="5"/>
        <v>0</v>
      </c>
      <c r="T18" s="5">
        <f t="shared" si="5"/>
        <v>0</v>
      </c>
      <c r="U18" s="5">
        <f t="shared" si="5"/>
        <v>0</v>
      </c>
      <c r="V18" s="5">
        <f t="shared" si="5"/>
        <v>0</v>
      </c>
      <c r="W18" s="5">
        <f t="shared" si="5"/>
        <v>0</v>
      </c>
      <c r="X18" s="5">
        <f t="shared" si="5"/>
        <v>0</v>
      </c>
    </row>
    <row r="19" spans="1:24" x14ac:dyDescent="0.45">
      <c r="A19" t="s">
        <v>5</v>
      </c>
      <c r="C19" s="73" t="s">
        <v>18</v>
      </c>
      <c r="F19" s="11">
        <v>4000</v>
      </c>
      <c r="G19" s="11">
        <v>0</v>
      </c>
      <c r="H19" s="11">
        <v>9000</v>
      </c>
      <c r="I19" s="11">
        <v>5000</v>
      </c>
      <c r="J19" s="11">
        <v>0</v>
      </c>
      <c r="K19" s="5">
        <v>5000</v>
      </c>
      <c r="L19" s="5">
        <v>3000</v>
      </c>
      <c r="M19" s="5">
        <f t="shared" si="5"/>
        <v>250</v>
      </c>
      <c r="N19" s="5">
        <f t="shared" si="5"/>
        <v>250</v>
      </c>
      <c r="O19" s="5">
        <f t="shared" si="5"/>
        <v>250</v>
      </c>
      <c r="P19" s="5">
        <f t="shared" si="5"/>
        <v>250</v>
      </c>
      <c r="Q19" s="5">
        <f t="shared" si="5"/>
        <v>250</v>
      </c>
      <c r="R19" s="5">
        <f t="shared" si="5"/>
        <v>250</v>
      </c>
      <c r="S19" s="5">
        <f t="shared" si="5"/>
        <v>250</v>
      </c>
      <c r="T19" s="5">
        <f t="shared" si="5"/>
        <v>250</v>
      </c>
      <c r="U19" s="5">
        <f t="shared" si="5"/>
        <v>250</v>
      </c>
      <c r="V19" s="5">
        <f t="shared" si="5"/>
        <v>250</v>
      </c>
      <c r="W19" s="5">
        <f t="shared" si="5"/>
        <v>250</v>
      </c>
      <c r="X19" s="5">
        <f t="shared" si="5"/>
        <v>250</v>
      </c>
    </row>
    <row r="20" spans="1:24" x14ac:dyDescent="0.45">
      <c r="A20" t="s">
        <v>5</v>
      </c>
      <c r="C20" s="73" t="s">
        <v>5</v>
      </c>
      <c r="F20" s="11">
        <v>20000</v>
      </c>
      <c r="G20" s="11">
        <v>30000</v>
      </c>
      <c r="H20" s="11">
        <v>10000</v>
      </c>
      <c r="I20" s="11">
        <v>20000</v>
      </c>
      <c r="J20" s="11">
        <v>5000</v>
      </c>
      <c r="K20" s="5">
        <v>25000</v>
      </c>
      <c r="L20" s="5">
        <v>30000</v>
      </c>
      <c r="M20" s="5">
        <f t="shared" si="5"/>
        <v>2500</v>
      </c>
      <c r="N20" s="5">
        <f t="shared" si="5"/>
        <v>2500</v>
      </c>
      <c r="O20" s="5">
        <f t="shared" si="5"/>
        <v>2500</v>
      </c>
      <c r="P20" s="5">
        <f t="shared" si="5"/>
        <v>2500</v>
      </c>
      <c r="Q20" s="5">
        <f t="shared" si="5"/>
        <v>2500</v>
      </c>
      <c r="R20" s="5">
        <f t="shared" si="5"/>
        <v>2500</v>
      </c>
      <c r="S20" s="5">
        <f t="shared" si="5"/>
        <v>2500</v>
      </c>
      <c r="T20" s="5">
        <f t="shared" si="5"/>
        <v>2500</v>
      </c>
      <c r="U20" s="5">
        <f t="shared" si="5"/>
        <v>2500</v>
      </c>
      <c r="V20" s="5">
        <f t="shared" si="5"/>
        <v>2500</v>
      </c>
      <c r="W20" s="5">
        <f t="shared" si="5"/>
        <v>2500</v>
      </c>
      <c r="X20" s="5">
        <f t="shared" si="5"/>
        <v>2500</v>
      </c>
    </row>
    <row r="21" spans="1:24" x14ac:dyDescent="0.45">
      <c r="A21" t="s">
        <v>6</v>
      </c>
      <c r="C21" s="73" t="s">
        <v>91</v>
      </c>
      <c r="F21" s="11">
        <v>8000</v>
      </c>
      <c r="G21" s="11">
        <v>30000</v>
      </c>
      <c r="H21" s="11">
        <v>9000</v>
      </c>
      <c r="I21" s="11">
        <v>5000</v>
      </c>
      <c r="J21" s="11">
        <v>4000</v>
      </c>
      <c r="K21" s="5">
        <v>9000</v>
      </c>
      <c r="L21" s="5">
        <v>10000</v>
      </c>
      <c r="M21" s="5">
        <f t="shared" si="5"/>
        <v>833.33333333333337</v>
      </c>
      <c r="N21" s="5">
        <f t="shared" si="5"/>
        <v>833.33333333333337</v>
      </c>
      <c r="O21" s="5">
        <f t="shared" si="5"/>
        <v>833.33333333333337</v>
      </c>
      <c r="P21" s="5">
        <f t="shared" si="5"/>
        <v>833.33333333333337</v>
      </c>
      <c r="Q21" s="5">
        <f t="shared" si="5"/>
        <v>833.33333333333337</v>
      </c>
      <c r="R21" s="5">
        <f t="shared" si="5"/>
        <v>833.33333333333337</v>
      </c>
      <c r="S21" s="5">
        <f t="shared" si="5"/>
        <v>833.33333333333337</v>
      </c>
      <c r="T21" s="5">
        <f t="shared" si="5"/>
        <v>833.33333333333337</v>
      </c>
      <c r="U21" s="5">
        <f t="shared" si="5"/>
        <v>833.33333333333337</v>
      </c>
      <c r="V21" s="5">
        <f t="shared" si="5"/>
        <v>833.33333333333337</v>
      </c>
      <c r="W21" s="5">
        <f t="shared" si="5"/>
        <v>833.33333333333337</v>
      </c>
      <c r="X21" s="5">
        <f t="shared" si="5"/>
        <v>833.33333333333337</v>
      </c>
    </row>
    <row r="22" spans="1:24" x14ac:dyDescent="0.45">
      <c r="A22" t="s">
        <v>6</v>
      </c>
      <c r="C22" s="73" t="s">
        <v>19</v>
      </c>
      <c r="F22" s="11">
        <v>1000</v>
      </c>
      <c r="G22" s="11">
        <v>10000</v>
      </c>
      <c r="H22" s="11">
        <v>0</v>
      </c>
      <c r="I22" s="11">
        <v>6000</v>
      </c>
      <c r="J22" s="11">
        <v>8000</v>
      </c>
      <c r="K22" s="5">
        <v>14000</v>
      </c>
      <c r="L22" s="5">
        <v>10000</v>
      </c>
      <c r="M22" s="5">
        <f t="shared" si="5"/>
        <v>833.33333333333337</v>
      </c>
      <c r="N22" s="5">
        <f t="shared" si="5"/>
        <v>833.33333333333337</v>
      </c>
      <c r="O22" s="5">
        <f t="shared" si="5"/>
        <v>833.33333333333337</v>
      </c>
      <c r="P22" s="5">
        <f t="shared" si="5"/>
        <v>833.33333333333337</v>
      </c>
      <c r="Q22" s="5">
        <f t="shared" si="5"/>
        <v>833.33333333333337</v>
      </c>
      <c r="R22" s="5">
        <f t="shared" si="5"/>
        <v>833.33333333333337</v>
      </c>
      <c r="S22" s="5">
        <f t="shared" si="5"/>
        <v>833.33333333333337</v>
      </c>
      <c r="T22" s="5">
        <f t="shared" si="5"/>
        <v>833.33333333333337</v>
      </c>
      <c r="U22" s="5">
        <f t="shared" si="5"/>
        <v>833.33333333333337</v>
      </c>
      <c r="V22" s="5">
        <f t="shared" si="5"/>
        <v>833.33333333333337</v>
      </c>
      <c r="W22" s="5">
        <f t="shared" si="5"/>
        <v>833.33333333333337</v>
      </c>
      <c r="X22" s="5">
        <f t="shared" si="5"/>
        <v>833.33333333333337</v>
      </c>
    </row>
    <row r="23" spans="1:24" x14ac:dyDescent="0.45">
      <c r="A23" t="s">
        <v>6</v>
      </c>
      <c r="C23" s="73" t="s">
        <v>92</v>
      </c>
      <c r="F23" s="11">
        <v>170000</v>
      </c>
      <c r="G23" s="11">
        <v>160000</v>
      </c>
      <c r="H23" s="11">
        <v>130000</v>
      </c>
      <c r="I23" s="11">
        <v>40000</v>
      </c>
      <c r="J23" s="11">
        <v>9000</v>
      </c>
      <c r="K23" s="5">
        <v>49000</v>
      </c>
      <c r="L23" s="5">
        <v>50000</v>
      </c>
      <c r="M23" s="5">
        <f t="shared" si="5"/>
        <v>4166.666666666667</v>
      </c>
      <c r="N23" s="5">
        <f t="shared" si="5"/>
        <v>4166.666666666667</v>
      </c>
      <c r="O23" s="5">
        <f t="shared" si="5"/>
        <v>4166.666666666667</v>
      </c>
      <c r="P23" s="5">
        <f t="shared" si="5"/>
        <v>4166.666666666667</v>
      </c>
      <c r="Q23" s="5">
        <f t="shared" si="5"/>
        <v>4166.666666666667</v>
      </c>
      <c r="R23" s="5">
        <f t="shared" si="5"/>
        <v>4166.666666666667</v>
      </c>
      <c r="S23" s="5">
        <f t="shared" si="5"/>
        <v>4166.666666666667</v>
      </c>
      <c r="T23" s="5">
        <f t="shared" si="5"/>
        <v>4166.666666666667</v>
      </c>
      <c r="U23" s="5">
        <f t="shared" si="5"/>
        <v>4166.666666666667</v>
      </c>
      <c r="V23" s="5">
        <f t="shared" si="5"/>
        <v>4166.666666666667</v>
      </c>
      <c r="W23" s="5">
        <f t="shared" si="5"/>
        <v>4166.666666666667</v>
      </c>
      <c r="X23" s="5">
        <f t="shared" si="5"/>
        <v>4166.666666666667</v>
      </c>
    </row>
    <row r="24" spans="1:24" x14ac:dyDescent="0.45">
      <c r="A24" t="s">
        <v>6</v>
      </c>
      <c r="C24" s="73" t="s">
        <v>20</v>
      </c>
      <c r="F24" s="11">
        <v>0</v>
      </c>
      <c r="G24" s="11">
        <v>0</v>
      </c>
      <c r="H24" s="11">
        <v>0</v>
      </c>
      <c r="I24" s="11">
        <v>10000</v>
      </c>
      <c r="J24" s="11">
        <v>0</v>
      </c>
      <c r="K24" s="5">
        <v>10000</v>
      </c>
      <c r="L24" s="5">
        <v>10000</v>
      </c>
      <c r="M24" s="5">
        <f t="shared" si="5"/>
        <v>833.33333333333337</v>
      </c>
      <c r="N24" s="5">
        <f t="shared" si="5"/>
        <v>833.33333333333337</v>
      </c>
      <c r="O24" s="5">
        <f t="shared" si="5"/>
        <v>833.33333333333337</v>
      </c>
      <c r="P24" s="5">
        <f t="shared" si="5"/>
        <v>833.33333333333337</v>
      </c>
      <c r="Q24" s="5">
        <f t="shared" si="5"/>
        <v>833.33333333333337</v>
      </c>
      <c r="R24" s="5">
        <f t="shared" si="5"/>
        <v>833.33333333333337</v>
      </c>
      <c r="S24" s="5">
        <f t="shared" si="5"/>
        <v>833.33333333333337</v>
      </c>
      <c r="T24" s="5">
        <f t="shared" si="5"/>
        <v>833.33333333333337</v>
      </c>
      <c r="U24" s="5">
        <f t="shared" si="5"/>
        <v>833.33333333333337</v>
      </c>
      <c r="V24" s="5">
        <f t="shared" si="5"/>
        <v>833.33333333333337</v>
      </c>
      <c r="W24" s="5">
        <f t="shared" si="5"/>
        <v>833.33333333333337</v>
      </c>
      <c r="X24" s="5">
        <f t="shared" si="5"/>
        <v>833.33333333333337</v>
      </c>
    </row>
    <row r="25" spans="1:24" x14ac:dyDescent="0.45">
      <c r="A25" t="s">
        <v>6</v>
      </c>
      <c r="C25" s="73" t="s">
        <v>93</v>
      </c>
      <c r="F25" s="11">
        <v>1000</v>
      </c>
      <c r="G25" s="11">
        <v>10000</v>
      </c>
      <c r="H25" s="11">
        <v>1000</v>
      </c>
      <c r="I25" s="11">
        <v>10000</v>
      </c>
      <c r="J25" s="11">
        <v>3000</v>
      </c>
      <c r="K25" s="5">
        <v>13000</v>
      </c>
      <c r="L25" s="5">
        <v>10000</v>
      </c>
      <c r="M25" s="5">
        <f t="shared" si="5"/>
        <v>833.33333333333337</v>
      </c>
      <c r="N25" s="5">
        <f t="shared" si="5"/>
        <v>833.33333333333337</v>
      </c>
      <c r="O25" s="5">
        <f t="shared" si="5"/>
        <v>833.33333333333337</v>
      </c>
      <c r="P25" s="5">
        <f t="shared" si="5"/>
        <v>833.33333333333337</v>
      </c>
      <c r="Q25" s="5">
        <f t="shared" si="5"/>
        <v>833.33333333333337</v>
      </c>
      <c r="R25" s="5">
        <f t="shared" si="5"/>
        <v>833.33333333333337</v>
      </c>
      <c r="S25" s="5">
        <f t="shared" si="5"/>
        <v>833.33333333333337</v>
      </c>
      <c r="T25" s="5">
        <f t="shared" si="5"/>
        <v>833.33333333333337</v>
      </c>
      <c r="U25" s="5">
        <f t="shared" si="5"/>
        <v>833.33333333333337</v>
      </c>
      <c r="V25" s="5">
        <f t="shared" si="5"/>
        <v>833.33333333333337</v>
      </c>
      <c r="W25" s="5">
        <f t="shared" si="5"/>
        <v>833.33333333333337</v>
      </c>
      <c r="X25" s="5">
        <f t="shared" si="5"/>
        <v>833.33333333333337</v>
      </c>
    </row>
    <row r="26" spans="1:24" x14ac:dyDescent="0.45">
      <c r="A26" t="s">
        <v>6</v>
      </c>
      <c r="C26" s="73" t="s">
        <v>94</v>
      </c>
      <c r="F26" s="11">
        <v>7000</v>
      </c>
      <c r="G26" s="11">
        <v>0</v>
      </c>
      <c r="H26" s="11">
        <v>9000</v>
      </c>
      <c r="I26" s="11">
        <v>35000</v>
      </c>
      <c r="J26" s="11">
        <v>0</v>
      </c>
      <c r="K26" s="5">
        <v>35000</v>
      </c>
      <c r="L26" s="5">
        <v>50000</v>
      </c>
      <c r="M26" s="5">
        <f t="shared" ref="M26:X33" si="6">$L26/12</f>
        <v>4166.666666666667</v>
      </c>
      <c r="N26" s="5">
        <f t="shared" si="6"/>
        <v>4166.666666666667</v>
      </c>
      <c r="O26" s="5">
        <f t="shared" si="6"/>
        <v>4166.666666666667</v>
      </c>
      <c r="P26" s="5">
        <f t="shared" si="6"/>
        <v>4166.666666666667</v>
      </c>
      <c r="Q26" s="5">
        <f t="shared" si="6"/>
        <v>4166.666666666667</v>
      </c>
      <c r="R26" s="5">
        <f t="shared" si="6"/>
        <v>4166.666666666667</v>
      </c>
      <c r="S26" s="5">
        <f t="shared" si="6"/>
        <v>4166.666666666667</v>
      </c>
      <c r="T26" s="5">
        <f t="shared" si="6"/>
        <v>4166.666666666667</v>
      </c>
      <c r="U26" s="5">
        <f t="shared" si="6"/>
        <v>4166.666666666667</v>
      </c>
      <c r="V26" s="5">
        <f t="shared" si="6"/>
        <v>4166.666666666667</v>
      </c>
      <c r="W26" s="5">
        <f t="shared" si="6"/>
        <v>4166.666666666667</v>
      </c>
      <c r="X26" s="5">
        <f t="shared" si="6"/>
        <v>4166.666666666667</v>
      </c>
    </row>
    <row r="27" spans="1:24" x14ac:dyDescent="0.45">
      <c r="A27" t="s">
        <v>7</v>
      </c>
      <c r="C27" s="73" t="s">
        <v>95</v>
      </c>
      <c r="F27" s="11">
        <v>6000</v>
      </c>
      <c r="G27" s="11">
        <v>0</v>
      </c>
      <c r="H27" s="11">
        <v>0</v>
      </c>
      <c r="I27" s="11">
        <v>0</v>
      </c>
      <c r="J27" s="11">
        <v>0</v>
      </c>
      <c r="K27" s="5">
        <v>0</v>
      </c>
      <c r="L27" s="5">
        <v>0</v>
      </c>
      <c r="M27" s="5">
        <f t="shared" si="6"/>
        <v>0</v>
      </c>
      <c r="N27" s="5">
        <f t="shared" si="6"/>
        <v>0</v>
      </c>
      <c r="O27" s="5">
        <f t="shared" si="6"/>
        <v>0</v>
      </c>
      <c r="P27" s="5">
        <f t="shared" si="6"/>
        <v>0</v>
      </c>
      <c r="Q27" s="5">
        <f t="shared" si="6"/>
        <v>0</v>
      </c>
      <c r="R27" s="5">
        <f t="shared" si="6"/>
        <v>0</v>
      </c>
      <c r="S27" s="5">
        <f t="shared" si="6"/>
        <v>0</v>
      </c>
      <c r="T27" s="5">
        <f t="shared" si="6"/>
        <v>0</v>
      </c>
      <c r="U27" s="5">
        <f t="shared" si="6"/>
        <v>0</v>
      </c>
      <c r="V27" s="5">
        <f t="shared" si="6"/>
        <v>0</v>
      </c>
      <c r="W27" s="5">
        <f t="shared" si="6"/>
        <v>0</v>
      </c>
      <c r="X27" s="5">
        <f t="shared" si="6"/>
        <v>0</v>
      </c>
    </row>
    <row r="28" spans="1:24" x14ac:dyDescent="0.45">
      <c r="A28" t="s">
        <v>8</v>
      </c>
      <c r="C28" s="73" t="s">
        <v>21</v>
      </c>
      <c r="F28" s="11">
        <v>7000</v>
      </c>
      <c r="G28" s="11">
        <v>10000</v>
      </c>
      <c r="H28" s="11">
        <v>9000</v>
      </c>
      <c r="I28" s="11">
        <v>10000</v>
      </c>
      <c r="J28" s="11">
        <v>8000</v>
      </c>
      <c r="K28" s="5">
        <v>18000</v>
      </c>
      <c r="L28" s="5">
        <v>20000</v>
      </c>
      <c r="M28" s="5">
        <f t="shared" si="6"/>
        <v>1666.6666666666667</v>
      </c>
      <c r="N28" s="5">
        <f t="shared" si="6"/>
        <v>1666.6666666666667</v>
      </c>
      <c r="O28" s="5">
        <f t="shared" si="6"/>
        <v>1666.6666666666667</v>
      </c>
      <c r="P28" s="5">
        <f t="shared" si="6"/>
        <v>1666.6666666666667</v>
      </c>
      <c r="Q28" s="5">
        <f t="shared" si="6"/>
        <v>1666.6666666666667</v>
      </c>
      <c r="R28" s="5">
        <f t="shared" si="6"/>
        <v>1666.6666666666667</v>
      </c>
      <c r="S28" s="5">
        <f t="shared" si="6"/>
        <v>1666.6666666666667</v>
      </c>
      <c r="T28" s="5">
        <f t="shared" si="6"/>
        <v>1666.6666666666667</v>
      </c>
      <c r="U28" s="5">
        <f t="shared" si="6"/>
        <v>1666.6666666666667</v>
      </c>
      <c r="V28" s="5">
        <f t="shared" si="6"/>
        <v>1666.6666666666667</v>
      </c>
      <c r="W28" s="5">
        <f t="shared" si="6"/>
        <v>1666.6666666666667</v>
      </c>
      <c r="X28" s="5">
        <f t="shared" si="6"/>
        <v>1666.6666666666667</v>
      </c>
    </row>
    <row r="29" spans="1:24" x14ac:dyDescent="0.45">
      <c r="A29" t="s">
        <v>8</v>
      </c>
      <c r="C29" s="73" t="s">
        <v>96</v>
      </c>
      <c r="F29" s="11">
        <v>1000</v>
      </c>
      <c r="G29" s="11">
        <v>10000</v>
      </c>
      <c r="H29" s="11">
        <v>2000</v>
      </c>
      <c r="I29" s="11">
        <v>10000</v>
      </c>
      <c r="J29" s="11">
        <v>5000</v>
      </c>
      <c r="K29" s="5">
        <v>15000</v>
      </c>
      <c r="L29" s="5">
        <v>20000</v>
      </c>
      <c r="M29" s="5">
        <f t="shared" si="6"/>
        <v>1666.6666666666667</v>
      </c>
      <c r="N29" s="5">
        <f t="shared" si="6"/>
        <v>1666.6666666666667</v>
      </c>
      <c r="O29" s="5">
        <f t="shared" si="6"/>
        <v>1666.6666666666667</v>
      </c>
      <c r="P29" s="5">
        <f t="shared" si="6"/>
        <v>1666.6666666666667</v>
      </c>
      <c r="Q29" s="5">
        <f t="shared" si="6"/>
        <v>1666.6666666666667</v>
      </c>
      <c r="R29" s="5">
        <f t="shared" si="6"/>
        <v>1666.6666666666667</v>
      </c>
      <c r="S29" s="5">
        <f t="shared" si="6"/>
        <v>1666.6666666666667</v>
      </c>
      <c r="T29" s="5">
        <f t="shared" si="6"/>
        <v>1666.6666666666667</v>
      </c>
      <c r="U29" s="5">
        <f t="shared" si="6"/>
        <v>1666.6666666666667</v>
      </c>
      <c r="V29" s="5">
        <f t="shared" si="6"/>
        <v>1666.6666666666667</v>
      </c>
      <c r="W29" s="5">
        <f t="shared" si="6"/>
        <v>1666.6666666666667</v>
      </c>
      <c r="X29" s="5">
        <f t="shared" si="6"/>
        <v>1666.6666666666667</v>
      </c>
    </row>
    <row r="30" spans="1:24" x14ac:dyDescent="0.45">
      <c r="A30" t="s">
        <v>8</v>
      </c>
      <c r="C30" s="73" t="s">
        <v>97</v>
      </c>
      <c r="F30" s="11">
        <v>4000</v>
      </c>
      <c r="G30" s="11">
        <v>10000</v>
      </c>
      <c r="H30" s="11">
        <v>4000</v>
      </c>
      <c r="I30" s="11">
        <v>10000</v>
      </c>
      <c r="J30" s="11">
        <v>8000</v>
      </c>
      <c r="K30" s="5">
        <v>18000</v>
      </c>
      <c r="L30" s="5">
        <v>20000</v>
      </c>
      <c r="M30" s="5">
        <f>$L30/12</f>
        <v>1666.6666666666667</v>
      </c>
      <c r="N30" s="5">
        <f t="shared" si="6"/>
        <v>1666.6666666666667</v>
      </c>
      <c r="O30" s="5">
        <f t="shared" si="6"/>
        <v>1666.6666666666667</v>
      </c>
      <c r="P30" s="5">
        <f t="shared" si="6"/>
        <v>1666.6666666666667</v>
      </c>
      <c r="Q30" s="5">
        <f t="shared" si="6"/>
        <v>1666.6666666666667</v>
      </c>
      <c r="R30" s="5">
        <f t="shared" si="6"/>
        <v>1666.6666666666667</v>
      </c>
      <c r="S30" s="5">
        <f t="shared" si="6"/>
        <v>1666.6666666666667</v>
      </c>
      <c r="T30" s="5">
        <f t="shared" si="6"/>
        <v>1666.6666666666667</v>
      </c>
      <c r="U30" s="5">
        <f t="shared" si="6"/>
        <v>1666.6666666666667</v>
      </c>
      <c r="V30" s="5">
        <f t="shared" si="6"/>
        <v>1666.6666666666667</v>
      </c>
      <c r="W30" s="5">
        <f t="shared" si="6"/>
        <v>1666.6666666666667</v>
      </c>
      <c r="X30" s="5">
        <f t="shared" si="6"/>
        <v>1666.6666666666667</v>
      </c>
    </row>
    <row r="31" spans="1:24" x14ac:dyDescent="0.45">
      <c r="A31" t="s">
        <v>8</v>
      </c>
      <c r="C31" s="73" t="s">
        <v>98</v>
      </c>
      <c r="F31" s="11">
        <v>4000</v>
      </c>
      <c r="G31" s="11">
        <v>20000</v>
      </c>
      <c r="H31" s="11">
        <v>4000</v>
      </c>
      <c r="I31" s="11">
        <v>10000</v>
      </c>
      <c r="J31" s="11">
        <v>1000</v>
      </c>
      <c r="K31" s="5">
        <v>11000</v>
      </c>
      <c r="L31" s="5">
        <v>20000</v>
      </c>
      <c r="M31" s="5">
        <f t="shared" ref="M31:M33" si="7">$L31/12</f>
        <v>1666.6666666666667</v>
      </c>
      <c r="N31" s="5">
        <f t="shared" si="6"/>
        <v>1666.6666666666667</v>
      </c>
      <c r="O31" s="5">
        <f t="shared" si="6"/>
        <v>1666.6666666666667</v>
      </c>
      <c r="P31" s="5">
        <f t="shared" si="6"/>
        <v>1666.6666666666667</v>
      </c>
      <c r="Q31" s="5">
        <f t="shared" si="6"/>
        <v>1666.6666666666667</v>
      </c>
      <c r="R31" s="5">
        <f t="shared" si="6"/>
        <v>1666.6666666666667</v>
      </c>
      <c r="S31" s="5">
        <f t="shared" si="6"/>
        <v>1666.6666666666667</v>
      </c>
      <c r="T31" s="5">
        <f t="shared" si="6"/>
        <v>1666.6666666666667</v>
      </c>
      <c r="U31" s="5">
        <f t="shared" si="6"/>
        <v>1666.6666666666667</v>
      </c>
      <c r="V31" s="5">
        <f t="shared" si="6"/>
        <v>1666.6666666666667</v>
      </c>
      <c r="W31" s="5">
        <f t="shared" si="6"/>
        <v>1666.6666666666667</v>
      </c>
      <c r="X31" s="5">
        <f t="shared" si="6"/>
        <v>1666.6666666666667</v>
      </c>
    </row>
    <row r="32" spans="1:24" x14ac:dyDescent="0.45">
      <c r="A32" t="s">
        <v>8</v>
      </c>
      <c r="C32" s="73" t="s">
        <v>22</v>
      </c>
      <c r="F32" s="11">
        <v>8000</v>
      </c>
      <c r="G32" s="11">
        <v>20000</v>
      </c>
      <c r="H32" s="11">
        <v>6000</v>
      </c>
      <c r="I32" s="11">
        <v>10000</v>
      </c>
      <c r="J32" s="11">
        <v>2000</v>
      </c>
      <c r="K32" s="5">
        <v>12000</v>
      </c>
      <c r="L32" s="5">
        <v>20000</v>
      </c>
      <c r="M32" s="5">
        <f t="shared" si="7"/>
        <v>1666.6666666666667</v>
      </c>
      <c r="N32" s="5">
        <f t="shared" si="6"/>
        <v>1666.6666666666667</v>
      </c>
      <c r="O32" s="5">
        <f t="shared" si="6"/>
        <v>1666.6666666666667</v>
      </c>
      <c r="P32" s="5">
        <f t="shared" si="6"/>
        <v>1666.6666666666667</v>
      </c>
      <c r="Q32" s="5">
        <f t="shared" si="6"/>
        <v>1666.6666666666667</v>
      </c>
      <c r="R32" s="5">
        <f t="shared" si="6"/>
        <v>1666.6666666666667</v>
      </c>
      <c r="S32" s="5">
        <f t="shared" si="6"/>
        <v>1666.6666666666667</v>
      </c>
      <c r="T32" s="5">
        <f t="shared" si="6"/>
        <v>1666.6666666666667</v>
      </c>
      <c r="U32" s="5">
        <f t="shared" si="6"/>
        <v>1666.6666666666667</v>
      </c>
      <c r="V32" s="5">
        <f t="shared" si="6"/>
        <v>1666.6666666666667</v>
      </c>
      <c r="W32" s="5">
        <f t="shared" si="6"/>
        <v>1666.6666666666667</v>
      </c>
      <c r="X32" s="5">
        <f t="shared" si="6"/>
        <v>1666.6666666666667</v>
      </c>
    </row>
    <row r="33" spans="1:24" x14ac:dyDescent="0.45">
      <c r="A33" t="s">
        <v>8</v>
      </c>
      <c r="C33" s="73" t="s">
        <v>99</v>
      </c>
      <c r="F33" s="11">
        <v>8000</v>
      </c>
      <c r="G33" s="11">
        <v>20000</v>
      </c>
      <c r="H33" s="11">
        <v>7000</v>
      </c>
      <c r="I33" s="11">
        <v>10000</v>
      </c>
      <c r="J33" s="11">
        <v>4000</v>
      </c>
      <c r="K33" s="5">
        <v>14000</v>
      </c>
      <c r="L33" s="5">
        <v>20000</v>
      </c>
      <c r="M33" s="5">
        <f t="shared" si="7"/>
        <v>1666.6666666666667</v>
      </c>
      <c r="N33" s="5">
        <f t="shared" si="6"/>
        <v>1666.6666666666667</v>
      </c>
      <c r="O33" s="5">
        <f t="shared" si="6"/>
        <v>1666.6666666666667</v>
      </c>
      <c r="P33" s="5">
        <f t="shared" si="6"/>
        <v>1666.6666666666667</v>
      </c>
      <c r="Q33" s="5">
        <f t="shared" si="6"/>
        <v>1666.6666666666667</v>
      </c>
      <c r="R33" s="5">
        <f t="shared" si="6"/>
        <v>1666.6666666666667</v>
      </c>
      <c r="S33" s="5">
        <f t="shared" si="6"/>
        <v>1666.6666666666667</v>
      </c>
      <c r="T33" s="5">
        <f t="shared" si="6"/>
        <v>1666.6666666666667</v>
      </c>
      <c r="U33" s="5">
        <f t="shared" si="6"/>
        <v>1666.6666666666667</v>
      </c>
      <c r="V33" s="5">
        <f t="shared" si="6"/>
        <v>1666.6666666666667</v>
      </c>
      <c r="W33" s="5">
        <f t="shared" si="6"/>
        <v>1666.6666666666667</v>
      </c>
      <c r="X33" s="5">
        <f t="shared" si="6"/>
        <v>1666.6666666666667</v>
      </c>
    </row>
    <row r="34" spans="1:24" x14ac:dyDescent="0.45">
      <c r="A34" t="s">
        <v>8</v>
      </c>
      <c r="C34" s="73" t="s">
        <v>100</v>
      </c>
      <c r="F34" s="11">
        <v>3000</v>
      </c>
      <c r="G34" s="11">
        <v>20000</v>
      </c>
      <c r="H34" s="11">
        <v>2000</v>
      </c>
      <c r="I34" s="11">
        <v>5000</v>
      </c>
      <c r="J34" s="11">
        <v>4000</v>
      </c>
      <c r="K34" s="5">
        <v>9000</v>
      </c>
      <c r="L34" s="5">
        <v>20000</v>
      </c>
      <c r="M34" s="5">
        <f>$L$34/12</f>
        <v>1666.6666666666667</v>
      </c>
      <c r="N34" s="5">
        <f t="shared" ref="N34:X34" si="8">$L$34/12</f>
        <v>1666.6666666666667</v>
      </c>
      <c r="O34" s="5">
        <f t="shared" si="8"/>
        <v>1666.6666666666667</v>
      </c>
      <c r="P34" s="5">
        <f t="shared" si="8"/>
        <v>1666.6666666666667</v>
      </c>
      <c r="Q34" s="5">
        <f t="shared" si="8"/>
        <v>1666.6666666666667</v>
      </c>
      <c r="R34" s="5">
        <f t="shared" si="8"/>
        <v>1666.6666666666667</v>
      </c>
      <c r="S34" s="5">
        <f t="shared" si="8"/>
        <v>1666.6666666666667</v>
      </c>
      <c r="T34" s="5">
        <f t="shared" si="8"/>
        <v>1666.6666666666667</v>
      </c>
      <c r="U34" s="5">
        <f t="shared" si="8"/>
        <v>1666.6666666666667</v>
      </c>
      <c r="V34" s="5">
        <f t="shared" si="8"/>
        <v>1666.6666666666667</v>
      </c>
      <c r="W34" s="5">
        <f t="shared" si="8"/>
        <v>1666.6666666666667</v>
      </c>
      <c r="X34" s="5">
        <f t="shared" si="8"/>
        <v>1666.6666666666667</v>
      </c>
    </row>
    <row r="35" spans="1:24" x14ac:dyDescent="0.45">
      <c r="A35" t="s">
        <v>8</v>
      </c>
      <c r="C35" s="73" t="s">
        <v>23</v>
      </c>
      <c r="F35" s="11">
        <v>10000</v>
      </c>
      <c r="G35" s="11">
        <v>20000</v>
      </c>
      <c r="H35" s="11">
        <v>3000</v>
      </c>
      <c r="I35" s="11">
        <v>10000</v>
      </c>
      <c r="J35" s="11">
        <v>5000</v>
      </c>
      <c r="K35" s="5">
        <v>15000</v>
      </c>
      <c r="L35" s="5">
        <v>20000</v>
      </c>
      <c r="M35" s="5">
        <f>$L35/12</f>
        <v>1666.6666666666667</v>
      </c>
      <c r="N35" s="5">
        <f t="shared" ref="N35:X48" si="9">$L35/12</f>
        <v>1666.6666666666667</v>
      </c>
      <c r="O35" s="5">
        <f t="shared" si="9"/>
        <v>1666.6666666666667</v>
      </c>
      <c r="P35" s="5">
        <f t="shared" si="9"/>
        <v>1666.6666666666667</v>
      </c>
      <c r="Q35" s="5">
        <f t="shared" si="9"/>
        <v>1666.6666666666667</v>
      </c>
      <c r="R35" s="5">
        <f t="shared" si="9"/>
        <v>1666.6666666666667</v>
      </c>
      <c r="S35" s="5">
        <f t="shared" si="9"/>
        <v>1666.6666666666667</v>
      </c>
      <c r="T35" s="5">
        <f t="shared" si="9"/>
        <v>1666.6666666666667</v>
      </c>
      <c r="U35" s="5">
        <f t="shared" si="9"/>
        <v>1666.6666666666667</v>
      </c>
      <c r="V35" s="5">
        <f t="shared" si="9"/>
        <v>1666.6666666666667</v>
      </c>
      <c r="W35" s="5">
        <f t="shared" si="9"/>
        <v>1666.6666666666667</v>
      </c>
      <c r="X35" s="5">
        <f t="shared" si="9"/>
        <v>1666.6666666666667</v>
      </c>
    </row>
    <row r="36" spans="1:24" x14ac:dyDescent="0.45">
      <c r="A36" t="s">
        <v>8</v>
      </c>
      <c r="C36" s="73" t="s">
        <v>101</v>
      </c>
      <c r="F36" s="11">
        <v>4000</v>
      </c>
      <c r="G36" s="11">
        <v>20000</v>
      </c>
      <c r="H36" s="11">
        <v>1000</v>
      </c>
      <c r="I36" s="11">
        <v>10000</v>
      </c>
      <c r="J36" s="11">
        <v>1000</v>
      </c>
      <c r="K36" s="5">
        <v>11000</v>
      </c>
      <c r="L36" s="5">
        <v>20000</v>
      </c>
      <c r="M36" s="5">
        <f t="shared" ref="M36:X51" si="10">$L36/12</f>
        <v>1666.6666666666667</v>
      </c>
      <c r="N36" s="5">
        <f t="shared" si="9"/>
        <v>1666.6666666666667</v>
      </c>
      <c r="O36" s="5">
        <f t="shared" si="9"/>
        <v>1666.6666666666667</v>
      </c>
      <c r="P36" s="5">
        <f t="shared" si="9"/>
        <v>1666.6666666666667</v>
      </c>
      <c r="Q36" s="5">
        <f t="shared" si="9"/>
        <v>1666.6666666666667</v>
      </c>
      <c r="R36" s="5">
        <f t="shared" si="9"/>
        <v>1666.6666666666667</v>
      </c>
      <c r="S36" s="5">
        <f t="shared" si="9"/>
        <v>1666.6666666666667</v>
      </c>
      <c r="T36" s="5">
        <f t="shared" si="9"/>
        <v>1666.6666666666667</v>
      </c>
      <c r="U36" s="5">
        <f t="shared" si="9"/>
        <v>1666.6666666666667</v>
      </c>
      <c r="V36" s="5">
        <f t="shared" si="9"/>
        <v>1666.6666666666667</v>
      </c>
      <c r="W36" s="5">
        <f t="shared" si="9"/>
        <v>1666.6666666666667</v>
      </c>
      <c r="X36" s="5">
        <f t="shared" si="9"/>
        <v>1666.6666666666667</v>
      </c>
    </row>
    <row r="37" spans="1:24" x14ac:dyDescent="0.45">
      <c r="A37" t="s">
        <v>8</v>
      </c>
      <c r="C37" s="73" t="s">
        <v>102</v>
      </c>
      <c r="F37" s="11">
        <v>7000</v>
      </c>
      <c r="G37" s="11">
        <v>20000</v>
      </c>
      <c r="H37" s="11">
        <v>1000</v>
      </c>
      <c r="I37" s="11">
        <v>10000</v>
      </c>
      <c r="J37" s="11">
        <v>1000</v>
      </c>
      <c r="K37" s="5">
        <v>11000</v>
      </c>
      <c r="L37" s="5">
        <v>20000</v>
      </c>
      <c r="M37" s="5">
        <f t="shared" si="10"/>
        <v>1666.6666666666667</v>
      </c>
      <c r="N37" s="5">
        <f t="shared" si="9"/>
        <v>1666.6666666666667</v>
      </c>
      <c r="O37" s="5">
        <f t="shared" si="9"/>
        <v>1666.6666666666667</v>
      </c>
      <c r="P37" s="5">
        <f t="shared" si="9"/>
        <v>1666.6666666666667</v>
      </c>
      <c r="Q37" s="5">
        <f t="shared" si="9"/>
        <v>1666.6666666666667</v>
      </c>
      <c r="R37" s="5">
        <f t="shared" si="9"/>
        <v>1666.6666666666667</v>
      </c>
      <c r="S37" s="5">
        <f t="shared" si="9"/>
        <v>1666.6666666666667</v>
      </c>
      <c r="T37" s="5">
        <f t="shared" si="9"/>
        <v>1666.6666666666667</v>
      </c>
      <c r="U37" s="5">
        <f t="shared" si="9"/>
        <v>1666.6666666666667</v>
      </c>
      <c r="V37" s="5">
        <f t="shared" si="9"/>
        <v>1666.6666666666667</v>
      </c>
      <c r="W37" s="5">
        <f t="shared" si="9"/>
        <v>1666.6666666666667</v>
      </c>
      <c r="X37" s="5">
        <f t="shared" si="9"/>
        <v>1666.6666666666667</v>
      </c>
    </row>
    <row r="38" spans="1:24" x14ac:dyDescent="0.45">
      <c r="A38" t="s">
        <v>9</v>
      </c>
      <c r="C38" s="73" t="s">
        <v>103</v>
      </c>
      <c r="F38" s="11">
        <v>0</v>
      </c>
      <c r="G38" s="11">
        <v>0</v>
      </c>
      <c r="H38" s="11">
        <v>0</v>
      </c>
      <c r="I38" s="11">
        <v>10000</v>
      </c>
      <c r="J38" s="11">
        <v>6000</v>
      </c>
      <c r="K38" s="5">
        <v>16000</v>
      </c>
      <c r="L38" s="5">
        <v>20000</v>
      </c>
      <c r="M38" s="5">
        <f t="shared" si="10"/>
        <v>1666.6666666666667</v>
      </c>
      <c r="N38" s="5">
        <f t="shared" si="9"/>
        <v>1666.6666666666667</v>
      </c>
      <c r="O38" s="5">
        <f t="shared" si="9"/>
        <v>1666.6666666666667</v>
      </c>
      <c r="P38" s="5">
        <f t="shared" si="9"/>
        <v>1666.6666666666667</v>
      </c>
      <c r="Q38" s="5">
        <f t="shared" si="9"/>
        <v>1666.6666666666667</v>
      </c>
      <c r="R38" s="5">
        <f t="shared" si="9"/>
        <v>1666.6666666666667</v>
      </c>
      <c r="S38" s="5">
        <f t="shared" si="9"/>
        <v>1666.6666666666667</v>
      </c>
      <c r="T38" s="5">
        <f t="shared" si="9"/>
        <v>1666.6666666666667</v>
      </c>
      <c r="U38" s="5">
        <f t="shared" si="9"/>
        <v>1666.6666666666667</v>
      </c>
      <c r="V38" s="5">
        <f t="shared" si="9"/>
        <v>1666.6666666666667</v>
      </c>
      <c r="W38" s="5">
        <f t="shared" si="9"/>
        <v>1666.6666666666667</v>
      </c>
      <c r="X38" s="5">
        <f t="shared" si="9"/>
        <v>1666.6666666666667</v>
      </c>
    </row>
    <row r="39" spans="1:24" x14ac:dyDescent="0.45">
      <c r="A39" t="s">
        <v>9</v>
      </c>
      <c r="C39" s="73" t="s">
        <v>103</v>
      </c>
      <c r="F39" s="10"/>
      <c r="G39" s="10"/>
      <c r="H39" s="10"/>
      <c r="I39" s="10"/>
      <c r="J39" s="10"/>
      <c r="K39" s="5">
        <v>0</v>
      </c>
      <c r="L39" s="5">
        <v>10000</v>
      </c>
      <c r="M39" s="5">
        <f t="shared" si="10"/>
        <v>833.33333333333337</v>
      </c>
      <c r="N39" s="5">
        <f t="shared" si="9"/>
        <v>833.33333333333337</v>
      </c>
      <c r="O39" s="5">
        <f t="shared" si="9"/>
        <v>833.33333333333337</v>
      </c>
      <c r="P39" s="5">
        <f t="shared" si="9"/>
        <v>833.33333333333337</v>
      </c>
      <c r="Q39" s="5">
        <f t="shared" si="9"/>
        <v>833.33333333333337</v>
      </c>
      <c r="R39" s="5">
        <f t="shared" si="9"/>
        <v>833.33333333333337</v>
      </c>
      <c r="S39" s="5">
        <f t="shared" si="9"/>
        <v>833.33333333333337</v>
      </c>
      <c r="T39" s="5">
        <f t="shared" si="9"/>
        <v>833.33333333333337</v>
      </c>
      <c r="U39" s="5">
        <f t="shared" si="9"/>
        <v>833.33333333333337</v>
      </c>
      <c r="V39" s="5">
        <f t="shared" si="9"/>
        <v>833.33333333333337</v>
      </c>
      <c r="W39" s="5">
        <f t="shared" si="9"/>
        <v>833.33333333333337</v>
      </c>
      <c r="X39" s="5">
        <f t="shared" si="9"/>
        <v>833.33333333333337</v>
      </c>
    </row>
    <row r="40" spans="1:24" x14ac:dyDescent="0.45">
      <c r="A40" t="s">
        <v>9</v>
      </c>
      <c r="C40" s="73" t="s">
        <v>104</v>
      </c>
      <c r="F40" s="10">
        <v>3000</v>
      </c>
      <c r="G40" s="10">
        <v>10000</v>
      </c>
      <c r="H40" s="10">
        <v>9000</v>
      </c>
      <c r="I40" s="10">
        <v>7000</v>
      </c>
      <c r="J40" s="10">
        <v>5000</v>
      </c>
      <c r="K40" s="5">
        <v>12000</v>
      </c>
      <c r="L40" s="5">
        <v>10000</v>
      </c>
      <c r="M40" s="5">
        <f t="shared" si="10"/>
        <v>833.33333333333337</v>
      </c>
      <c r="N40" s="5">
        <f t="shared" si="9"/>
        <v>833.33333333333337</v>
      </c>
      <c r="O40" s="5">
        <f t="shared" si="9"/>
        <v>833.33333333333337</v>
      </c>
      <c r="P40" s="5">
        <f t="shared" si="9"/>
        <v>833.33333333333337</v>
      </c>
      <c r="Q40" s="5">
        <f t="shared" si="9"/>
        <v>833.33333333333337</v>
      </c>
      <c r="R40" s="5">
        <f t="shared" si="9"/>
        <v>833.33333333333337</v>
      </c>
      <c r="S40" s="5">
        <f t="shared" si="9"/>
        <v>833.33333333333337</v>
      </c>
      <c r="T40" s="5">
        <f t="shared" si="9"/>
        <v>833.33333333333337</v>
      </c>
      <c r="U40" s="5">
        <f t="shared" si="9"/>
        <v>833.33333333333337</v>
      </c>
      <c r="V40" s="5">
        <f t="shared" si="9"/>
        <v>833.33333333333337</v>
      </c>
      <c r="W40" s="5">
        <f t="shared" si="9"/>
        <v>833.33333333333337</v>
      </c>
      <c r="X40" s="5">
        <f t="shared" si="9"/>
        <v>833.33333333333337</v>
      </c>
    </row>
    <row r="41" spans="1:24" x14ac:dyDescent="0.45">
      <c r="A41" t="s">
        <v>9</v>
      </c>
      <c r="C41" s="73" t="s">
        <v>104</v>
      </c>
      <c r="F41" s="10"/>
      <c r="G41" s="10"/>
      <c r="H41" s="10"/>
      <c r="I41" s="10"/>
      <c r="J41" s="10"/>
      <c r="K41" s="5">
        <v>0</v>
      </c>
      <c r="L41" s="5">
        <v>10000</v>
      </c>
      <c r="M41" s="5">
        <f t="shared" si="10"/>
        <v>833.33333333333337</v>
      </c>
      <c r="N41" s="5">
        <f t="shared" si="9"/>
        <v>833.33333333333337</v>
      </c>
      <c r="O41" s="5">
        <f t="shared" si="9"/>
        <v>833.33333333333337</v>
      </c>
      <c r="P41" s="5">
        <f t="shared" si="9"/>
        <v>833.33333333333337</v>
      </c>
      <c r="Q41" s="5">
        <f t="shared" si="9"/>
        <v>833.33333333333337</v>
      </c>
      <c r="R41" s="5">
        <f t="shared" si="9"/>
        <v>833.33333333333337</v>
      </c>
      <c r="S41" s="5">
        <f t="shared" si="9"/>
        <v>833.33333333333337</v>
      </c>
      <c r="T41" s="5">
        <f t="shared" si="9"/>
        <v>833.33333333333337</v>
      </c>
      <c r="U41" s="5">
        <f t="shared" si="9"/>
        <v>833.33333333333337</v>
      </c>
      <c r="V41" s="5">
        <f t="shared" si="9"/>
        <v>833.33333333333337</v>
      </c>
      <c r="W41" s="5">
        <f t="shared" si="9"/>
        <v>833.33333333333337</v>
      </c>
      <c r="X41" s="5">
        <f t="shared" si="9"/>
        <v>833.33333333333337</v>
      </c>
    </row>
    <row r="42" spans="1:24" x14ac:dyDescent="0.45">
      <c r="A42" t="s">
        <v>9</v>
      </c>
      <c r="C42" s="73" t="s">
        <v>105</v>
      </c>
      <c r="F42" s="10">
        <v>8000</v>
      </c>
      <c r="G42" s="10">
        <v>10000</v>
      </c>
      <c r="H42" s="10">
        <v>8000</v>
      </c>
      <c r="I42" s="10">
        <v>9000</v>
      </c>
      <c r="J42" s="10">
        <v>0</v>
      </c>
      <c r="K42" s="5">
        <v>9000</v>
      </c>
      <c r="L42" s="5">
        <v>10000</v>
      </c>
      <c r="M42" s="5">
        <f t="shared" si="10"/>
        <v>833.33333333333337</v>
      </c>
      <c r="N42" s="5">
        <f t="shared" si="9"/>
        <v>833.33333333333337</v>
      </c>
      <c r="O42" s="5">
        <f t="shared" si="9"/>
        <v>833.33333333333337</v>
      </c>
      <c r="P42" s="5">
        <f t="shared" si="9"/>
        <v>833.33333333333337</v>
      </c>
      <c r="Q42" s="5">
        <f t="shared" si="9"/>
        <v>833.33333333333337</v>
      </c>
      <c r="R42" s="5">
        <f t="shared" si="9"/>
        <v>833.33333333333337</v>
      </c>
      <c r="S42" s="5">
        <f t="shared" si="9"/>
        <v>833.33333333333337</v>
      </c>
      <c r="T42" s="5">
        <f t="shared" si="9"/>
        <v>833.33333333333337</v>
      </c>
      <c r="U42" s="5">
        <f t="shared" si="9"/>
        <v>833.33333333333337</v>
      </c>
      <c r="V42" s="5">
        <f t="shared" si="9"/>
        <v>833.33333333333337</v>
      </c>
      <c r="W42" s="5">
        <f t="shared" si="9"/>
        <v>833.33333333333337</v>
      </c>
      <c r="X42" s="5">
        <f t="shared" si="9"/>
        <v>833.33333333333337</v>
      </c>
    </row>
    <row r="43" spans="1:24" x14ac:dyDescent="0.45">
      <c r="A43" t="s">
        <v>9</v>
      </c>
      <c r="C43" s="73" t="s">
        <v>105</v>
      </c>
      <c r="F43" s="10"/>
      <c r="G43" s="10"/>
      <c r="H43" s="10"/>
      <c r="I43" s="10"/>
      <c r="J43" s="10"/>
      <c r="K43" s="5">
        <v>0</v>
      </c>
      <c r="L43" s="5">
        <v>10000</v>
      </c>
      <c r="M43" s="5">
        <f t="shared" si="10"/>
        <v>833.33333333333337</v>
      </c>
      <c r="N43" s="5">
        <f t="shared" si="9"/>
        <v>833.33333333333337</v>
      </c>
      <c r="O43" s="5">
        <f t="shared" si="9"/>
        <v>833.33333333333337</v>
      </c>
      <c r="P43" s="5">
        <f t="shared" si="9"/>
        <v>833.33333333333337</v>
      </c>
      <c r="Q43" s="5">
        <f t="shared" si="9"/>
        <v>833.33333333333337</v>
      </c>
      <c r="R43" s="5">
        <f t="shared" si="9"/>
        <v>833.33333333333337</v>
      </c>
      <c r="S43" s="5">
        <f t="shared" si="9"/>
        <v>833.33333333333337</v>
      </c>
      <c r="T43" s="5">
        <f t="shared" si="9"/>
        <v>833.33333333333337</v>
      </c>
      <c r="U43" s="5">
        <f t="shared" si="9"/>
        <v>833.33333333333337</v>
      </c>
      <c r="V43" s="5">
        <f t="shared" si="9"/>
        <v>833.33333333333337</v>
      </c>
      <c r="W43" s="5">
        <f t="shared" si="9"/>
        <v>833.33333333333337</v>
      </c>
      <c r="X43" s="5">
        <f t="shared" si="9"/>
        <v>833.33333333333337</v>
      </c>
    </row>
    <row r="44" spans="1:24" x14ac:dyDescent="0.45">
      <c r="A44" t="s">
        <v>9</v>
      </c>
      <c r="C44" s="73" t="s">
        <v>106</v>
      </c>
      <c r="F44" s="10">
        <v>150000</v>
      </c>
      <c r="G44" s="10">
        <v>130000</v>
      </c>
      <c r="H44" s="10">
        <v>120000</v>
      </c>
      <c r="I44" s="10">
        <v>220000</v>
      </c>
      <c r="J44" s="10">
        <v>90000</v>
      </c>
      <c r="K44" s="5">
        <v>310000</v>
      </c>
      <c r="L44" s="5">
        <v>300000</v>
      </c>
      <c r="M44" s="5">
        <f t="shared" si="10"/>
        <v>25000</v>
      </c>
      <c r="N44" s="5">
        <f t="shared" si="9"/>
        <v>25000</v>
      </c>
      <c r="O44" s="5">
        <f t="shared" si="9"/>
        <v>25000</v>
      </c>
      <c r="P44" s="5">
        <f t="shared" si="9"/>
        <v>25000</v>
      </c>
      <c r="Q44" s="5">
        <f t="shared" si="9"/>
        <v>25000</v>
      </c>
      <c r="R44" s="5">
        <f t="shared" si="9"/>
        <v>25000</v>
      </c>
      <c r="S44" s="5">
        <f t="shared" si="9"/>
        <v>25000</v>
      </c>
      <c r="T44" s="5">
        <f t="shared" si="9"/>
        <v>25000</v>
      </c>
      <c r="U44" s="5">
        <f t="shared" si="9"/>
        <v>25000</v>
      </c>
      <c r="V44" s="5">
        <f t="shared" si="9"/>
        <v>25000</v>
      </c>
      <c r="W44" s="5">
        <f t="shared" si="9"/>
        <v>25000</v>
      </c>
      <c r="X44" s="5">
        <f t="shared" si="9"/>
        <v>25000</v>
      </c>
    </row>
    <row r="45" spans="1:24" x14ac:dyDescent="0.45">
      <c r="A45" t="s">
        <v>9</v>
      </c>
      <c r="C45" s="73" t="s">
        <v>106</v>
      </c>
      <c r="F45" s="10"/>
      <c r="G45" s="10"/>
      <c r="H45" s="10"/>
      <c r="I45" s="10"/>
      <c r="J45" s="10"/>
      <c r="K45" s="5">
        <v>0</v>
      </c>
      <c r="L45" s="5">
        <v>10000</v>
      </c>
      <c r="M45" s="5">
        <f t="shared" si="10"/>
        <v>833.33333333333337</v>
      </c>
      <c r="N45" s="5">
        <f t="shared" si="9"/>
        <v>833.33333333333337</v>
      </c>
      <c r="O45" s="5">
        <f t="shared" si="9"/>
        <v>833.33333333333337</v>
      </c>
      <c r="P45" s="5">
        <f t="shared" si="9"/>
        <v>833.33333333333337</v>
      </c>
      <c r="Q45" s="5">
        <f t="shared" si="9"/>
        <v>833.33333333333337</v>
      </c>
      <c r="R45" s="5">
        <f t="shared" si="9"/>
        <v>833.33333333333337</v>
      </c>
      <c r="S45" s="5">
        <f t="shared" si="9"/>
        <v>833.33333333333337</v>
      </c>
      <c r="T45" s="5">
        <f t="shared" si="9"/>
        <v>833.33333333333337</v>
      </c>
      <c r="U45" s="5">
        <f t="shared" si="9"/>
        <v>833.33333333333337</v>
      </c>
      <c r="V45" s="5">
        <f t="shared" si="9"/>
        <v>833.33333333333337</v>
      </c>
      <c r="W45" s="5">
        <f t="shared" si="9"/>
        <v>833.33333333333337</v>
      </c>
      <c r="X45" s="5">
        <f t="shared" si="9"/>
        <v>833.33333333333337</v>
      </c>
    </row>
    <row r="46" spans="1:24" x14ac:dyDescent="0.45">
      <c r="A46" t="s">
        <v>9</v>
      </c>
      <c r="C46" s="73" t="s">
        <v>107</v>
      </c>
      <c r="F46" s="10">
        <v>150000</v>
      </c>
      <c r="G46" s="10">
        <v>200000</v>
      </c>
      <c r="H46" s="10">
        <v>70000</v>
      </c>
      <c r="I46" s="10">
        <v>100000</v>
      </c>
      <c r="J46" s="10">
        <v>10000</v>
      </c>
      <c r="K46" s="5">
        <v>110000</v>
      </c>
      <c r="L46" s="5">
        <v>50000</v>
      </c>
      <c r="M46" s="5">
        <f t="shared" si="10"/>
        <v>4166.666666666667</v>
      </c>
      <c r="N46" s="5">
        <f t="shared" si="9"/>
        <v>4166.666666666667</v>
      </c>
      <c r="O46" s="5">
        <f t="shared" si="9"/>
        <v>4166.666666666667</v>
      </c>
      <c r="P46" s="5">
        <f t="shared" si="9"/>
        <v>4166.666666666667</v>
      </c>
      <c r="Q46" s="5">
        <f t="shared" si="9"/>
        <v>4166.666666666667</v>
      </c>
      <c r="R46" s="5">
        <f t="shared" si="9"/>
        <v>4166.666666666667</v>
      </c>
      <c r="S46" s="5">
        <f t="shared" si="9"/>
        <v>4166.666666666667</v>
      </c>
      <c r="T46" s="5">
        <f t="shared" si="9"/>
        <v>4166.666666666667</v>
      </c>
      <c r="U46" s="5">
        <f t="shared" si="9"/>
        <v>4166.666666666667</v>
      </c>
      <c r="V46" s="5">
        <f t="shared" si="9"/>
        <v>4166.666666666667</v>
      </c>
      <c r="W46" s="5">
        <f t="shared" si="9"/>
        <v>4166.666666666667</v>
      </c>
      <c r="X46" s="5">
        <f t="shared" si="9"/>
        <v>4166.666666666667</v>
      </c>
    </row>
    <row r="47" spans="1:24" x14ac:dyDescent="0.45">
      <c r="A47" t="s">
        <v>9</v>
      </c>
      <c r="C47" s="73" t="s">
        <v>108</v>
      </c>
      <c r="F47" s="10"/>
      <c r="G47" s="10"/>
      <c r="H47" s="10"/>
      <c r="I47" s="10"/>
      <c r="J47" s="10"/>
      <c r="K47" s="5">
        <v>0</v>
      </c>
      <c r="L47" s="5">
        <v>5000</v>
      </c>
      <c r="M47" s="5">
        <f t="shared" si="10"/>
        <v>416.66666666666669</v>
      </c>
      <c r="N47" s="5">
        <f t="shared" si="9"/>
        <v>416.66666666666669</v>
      </c>
      <c r="O47" s="5">
        <f t="shared" si="9"/>
        <v>416.66666666666669</v>
      </c>
      <c r="P47" s="5">
        <f t="shared" si="9"/>
        <v>416.66666666666669</v>
      </c>
      <c r="Q47" s="5">
        <f t="shared" si="9"/>
        <v>416.66666666666669</v>
      </c>
      <c r="R47" s="5">
        <f t="shared" si="9"/>
        <v>416.66666666666669</v>
      </c>
      <c r="S47" s="5">
        <f t="shared" si="9"/>
        <v>416.66666666666669</v>
      </c>
      <c r="T47" s="5">
        <f t="shared" si="9"/>
        <v>416.66666666666669</v>
      </c>
      <c r="U47" s="5">
        <f t="shared" si="9"/>
        <v>416.66666666666669</v>
      </c>
      <c r="V47" s="5">
        <f t="shared" si="9"/>
        <v>416.66666666666669</v>
      </c>
      <c r="W47" s="5">
        <f t="shared" si="9"/>
        <v>416.66666666666669</v>
      </c>
      <c r="X47" s="5">
        <f t="shared" si="9"/>
        <v>416.66666666666669</v>
      </c>
    </row>
    <row r="48" spans="1:24" x14ac:dyDescent="0.45">
      <c r="A48" t="s">
        <v>9</v>
      </c>
      <c r="C48" s="73" t="s">
        <v>109</v>
      </c>
      <c r="F48" s="10"/>
      <c r="G48" s="10"/>
      <c r="H48" s="10"/>
      <c r="I48" s="10"/>
      <c r="J48" s="10"/>
      <c r="K48" s="5">
        <v>0</v>
      </c>
      <c r="L48" s="5">
        <v>5000</v>
      </c>
      <c r="M48" s="5">
        <f t="shared" si="10"/>
        <v>416.66666666666669</v>
      </c>
      <c r="N48" s="5">
        <f t="shared" si="9"/>
        <v>416.66666666666669</v>
      </c>
      <c r="O48" s="5">
        <f t="shared" si="9"/>
        <v>416.66666666666669</v>
      </c>
      <c r="P48" s="5">
        <f t="shared" si="9"/>
        <v>416.66666666666669</v>
      </c>
      <c r="Q48" s="5">
        <f t="shared" si="9"/>
        <v>416.66666666666669</v>
      </c>
      <c r="R48" s="5">
        <f t="shared" si="9"/>
        <v>416.66666666666669</v>
      </c>
      <c r="S48" s="5">
        <f t="shared" si="9"/>
        <v>416.66666666666669</v>
      </c>
      <c r="T48" s="5">
        <f t="shared" si="9"/>
        <v>416.66666666666669</v>
      </c>
      <c r="U48" s="5">
        <f t="shared" si="9"/>
        <v>416.66666666666669</v>
      </c>
      <c r="V48" s="5">
        <f t="shared" si="9"/>
        <v>416.66666666666669</v>
      </c>
      <c r="W48" s="5">
        <f t="shared" si="9"/>
        <v>416.66666666666669</v>
      </c>
      <c r="X48" s="5">
        <f t="shared" si="9"/>
        <v>416.66666666666669</v>
      </c>
    </row>
    <row r="49" spans="1:24" x14ac:dyDescent="0.45">
      <c r="A49" t="s">
        <v>10</v>
      </c>
      <c r="C49" s="73" t="s">
        <v>110</v>
      </c>
      <c r="F49" s="10">
        <v>10000</v>
      </c>
      <c r="G49" s="10">
        <v>30000</v>
      </c>
      <c r="H49" s="10">
        <v>6000</v>
      </c>
      <c r="I49" s="10">
        <v>10000</v>
      </c>
      <c r="J49" s="10">
        <v>10000</v>
      </c>
      <c r="K49" s="5">
        <v>20000</v>
      </c>
      <c r="L49" s="5">
        <v>5000</v>
      </c>
      <c r="M49" s="5">
        <f t="shared" si="10"/>
        <v>416.66666666666669</v>
      </c>
      <c r="N49" s="5">
        <f t="shared" si="10"/>
        <v>416.66666666666669</v>
      </c>
      <c r="O49" s="5">
        <f t="shared" si="10"/>
        <v>416.66666666666669</v>
      </c>
      <c r="P49" s="5">
        <f t="shared" si="10"/>
        <v>416.66666666666669</v>
      </c>
      <c r="Q49" s="5">
        <f t="shared" si="10"/>
        <v>416.66666666666669</v>
      </c>
      <c r="R49" s="5">
        <f t="shared" si="10"/>
        <v>416.66666666666669</v>
      </c>
      <c r="S49" s="5">
        <f t="shared" si="10"/>
        <v>416.66666666666669</v>
      </c>
      <c r="T49" s="5">
        <f t="shared" si="10"/>
        <v>416.66666666666669</v>
      </c>
      <c r="U49" s="5">
        <f t="shared" si="10"/>
        <v>416.66666666666669</v>
      </c>
      <c r="V49" s="5">
        <f t="shared" si="10"/>
        <v>416.66666666666669</v>
      </c>
      <c r="W49" s="5">
        <f t="shared" si="10"/>
        <v>416.66666666666669</v>
      </c>
      <c r="X49" s="5">
        <f t="shared" si="10"/>
        <v>416.66666666666669</v>
      </c>
    </row>
    <row r="50" spans="1:24" x14ac:dyDescent="0.45">
      <c r="A50" t="s">
        <v>11</v>
      </c>
      <c r="C50" s="73" t="s">
        <v>24</v>
      </c>
      <c r="F50" s="10">
        <v>9000</v>
      </c>
      <c r="G50" s="10">
        <v>20000</v>
      </c>
      <c r="H50" s="10">
        <v>8000</v>
      </c>
      <c r="I50" s="10">
        <v>10000</v>
      </c>
      <c r="J50" s="10">
        <v>10000</v>
      </c>
      <c r="K50" s="5">
        <v>20000</v>
      </c>
      <c r="L50" s="5">
        <v>5000</v>
      </c>
      <c r="M50" s="5">
        <f t="shared" si="10"/>
        <v>416.66666666666669</v>
      </c>
      <c r="N50" s="5">
        <f t="shared" si="10"/>
        <v>416.66666666666669</v>
      </c>
      <c r="O50" s="5">
        <f t="shared" si="10"/>
        <v>416.66666666666669</v>
      </c>
      <c r="P50" s="5">
        <f t="shared" si="10"/>
        <v>416.66666666666669</v>
      </c>
      <c r="Q50" s="5">
        <f t="shared" si="10"/>
        <v>416.66666666666669</v>
      </c>
      <c r="R50" s="5">
        <f t="shared" si="10"/>
        <v>416.66666666666669</v>
      </c>
      <c r="S50" s="5">
        <f t="shared" si="10"/>
        <v>416.66666666666669</v>
      </c>
      <c r="T50" s="5">
        <f t="shared" si="10"/>
        <v>416.66666666666669</v>
      </c>
      <c r="U50" s="5">
        <f t="shared" si="10"/>
        <v>416.66666666666669</v>
      </c>
      <c r="V50" s="5">
        <f t="shared" si="10"/>
        <v>416.66666666666669</v>
      </c>
      <c r="W50" s="5">
        <f t="shared" si="10"/>
        <v>416.66666666666669</v>
      </c>
      <c r="X50" s="5">
        <f t="shared" si="10"/>
        <v>416.66666666666669</v>
      </c>
    </row>
    <row r="51" spans="1:24" x14ac:dyDescent="0.45">
      <c r="A51" t="s">
        <v>11</v>
      </c>
      <c r="C51" s="73" t="s">
        <v>111</v>
      </c>
      <c r="F51" s="10">
        <v>1000</v>
      </c>
      <c r="G51" s="10">
        <v>10000</v>
      </c>
      <c r="H51" s="10">
        <v>1000</v>
      </c>
      <c r="I51" s="10">
        <v>10000</v>
      </c>
      <c r="J51" s="10">
        <v>10000</v>
      </c>
      <c r="K51" s="5">
        <v>20000</v>
      </c>
      <c r="L51" s="5">
        <v>5000</v>
      </c>
      <c r="M51" s="5">
        <f t="shared" si="10"/>
        <v>416.66666666666669</v>
      </c>
      <c r="N51" s="5">
        <f t="shared" si="10"/>
        <v>416.66666666666669</v>
      </c>
      <c r="O51" s="5">
        <f t="shared" si="10"/>
        <v>416.66666666666669</v>
      </c>
      <c r="P51" s="5">
        <f t="shared" si="10"/>
        <v>416.66666666666669</v>
      </c>
      <c r="Q51" s="5">
        <f t="shared" si="10"/>
        <v>416.66666666666669</v>
      </c>
      <c r="R51" s="5">
        <f t="shared" si="10"/>
        <v>416.66666666666669</v>
      </c>
      <c r="S51" s="5">
        <f t="shared" si="10"/>
        <v>416.66666666666669</v>
      </c>
      <c r="T51" s="5">
        <f t="shared" si="10"/>
        <v>416.66666666666669</v>
      </c>
      <c r="U51" s="5">
        <f t="shared" si="10"/>
        <v>416.66666666666669</v>
      </c>
      <c r="V51" s="5">
        <f t="shared" si="10"/>
        <v>416.66666666666669</v>
      </c>
      <c r="W51" s="5">
        <f t="shared" si="10"/>
        <v>416.66666666666669</v>
      </c>
      <c r="X51" s="5">
        <f t="shared" si="10"/>
        <v>416.66666666666669</v>
      </c>
    </row>
    <row r="52" spans="1:24" x14ac:dyDescent="0.45">
      <c r="A52" t="s">
        <v>11</v>
      </c>
      <c r="C52" s="73" t="s">
        <v>112</v>
      </c>
      <c r="F52" s="10">
        <v>3000</v>
      </c>
      <c r="G52" s="10">
        <v>8000</v>
      </c>
      <c r="H52" s="10">
        <v>4000</v>
      </c>
      <c r="I52" s="10">
        <v>10000</v>
      </c>
      <c r="J52" s="10">
        <v>10000</v>
      </c>
      <c r="K52" s="5">
        <v>20000</v>
      </c>
      <c r="L52" s="5">
        <v>5000</v>
      </c>
      <c r="M52" s="5">
        <f t="shared" ref="M52:X52" si="11">$L52/12</f>
        <v>416.66666666666669</v>
      </c>
      <c r="N52" s="5">
        <f t="shared" si="11"/>
        <v>416.66666666666669</v>
      </c>
      <c r="O52" s="5">
        <f t="shared" si="11"/>
        <v>416.66666666666669</v>
      </c>
      <c r="P52" s="5">
        <f t="shared" si="11"/>
        <v>416.66666666666669</v>
      </c>
      <c r="Q52" s="5">
        <f t="shared" si="11"/>
        <v>416.66666666666669</v>
      </c>
      <c r="R52" s="5">
        <f t="shared" si="11"/>
        <v>416.66666666666669</v>
      </c>
      <c r="S52" s="5">
        <f t="shared" si="11"/>
        <v>416.66666666666669</v>
      </c>
      <c r="T52" s="5">
        <f t="shared" si="11"/>
        <v>416.66666666666669</v>
      </c>
      <c r="U52" s="5">
        <f t="shared" si="11"/>
        <v>416.66666666666669</v>
      </c>
      <c r="V52" s="5">
        <f t="shared" si="11"/>
        <v>416.66666666666669</v>
      </c>
      <c r="W52" s="5">
        <f t="shared" si="11"/>
        <v>416.66666666666669</v>
      </c>
      <c r="X52" s="5">
        <f t="shared" si="11"/>
        <v>416.66666666666669</v>
      </c>
    </row>
    <row r="53" spans="1:24" x14ac:dyDescent="0.45">
      <c r="F53" s="12">
        <f t="shared" ref="F53:J53" si="12">SUM(F6:F52)</f>
        <v>728000</v>
      </c>
      <c r="G53" s="12">
        <f t="shared" si="12"/>
        <v>908000</v>
      </c>
      <c r="H53" s="12">
        <f t="shared" si="12"/>
        <v>521000</v>
      </c>
      <c r="I53" s="12">
        <f t="shared" si="12"/>
        <v>811000</v>
      </c>
      <c r="J53" s="12">
        <f t="shared" si="12"/>
        <v>121000</v>
      </c>
      <c r="K53" s="12">
        <f>SUM(K6:K52)</f>
        <v>932000</v>
      </c>
      <c r="L53" s="12">
        <f>SUM(L6:L52)</f>
        <v>924000</v>
      </c>
      <c r="M53" s="12">
        <f t="shared" ref="M53:X53" si="13">SUM(M6:M52)</f>
        <v>77000.000000000029</v>
      </c>
      <c r="N53" s="12">
        <f t="shared" si="13"/>
        <v>77000.000000000029</v>
      </c>
      <c r="O53" s="12">
        <f t="shared" si="13"/>
        <v>77000.000000000029</v>
      </c>
      <c r="P53" s="12">
        <f t="shared" si="13"/>
        <v>77000.000000000029</v>
      </c>
      <c r="Q53" s="12">
        <f t="shared" si="13"/>
        <v>77000.000000000029</v>
      </c>
      <c r="R53" s="12">
        <f t="shared" si="13"/>
        <v>77000.000000000029</v>
      </c>
      <c r="S53" s="12">
        <f t="shared" si="13"/>
        <v>77000.000000000029</v>
      </c>
      <c r="T53" s="12">
        <f t="shared" si="13"/>
        <v>77000.000000000029</v>
      </c>
      <c r="U53" s="12">
        <f t="shared" si="13"/>
        <v>77000.000000000029</v>
      </c>
      <c r="V53" s="12">
        <f t="shared" si="13"/>
        <v>77000.000000000029</v>
      </c>
      <c r="W53" s="12">
        <f t="shared" si="13"/>
        <v>77000.000000000029</v>
      </c>
      <c r="X53" s="12">
        <f t="shared" si="13"/>
        <v>77000.000000000029</v>
      </c>
    </row>
  </sheetData>
  <autoFilter ref="A5:X53" xr:uid="{7D568CDB-E161-41A6-B4A9-7AA5F94278B4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AADEC-7274-4CA0-A246-B26AEC6F2B6D}">
  <sheetPr codeName="Sheet3"/>
  <dimension ref="B1:H38"/>
  <sheetViews>
    <sheetView tabSelected="1" workbookViewId="0">
      <selection activeCell="E11" sqref="E11"/>
    </sheetView>
  </sheetViews>
  <sheetFormatPr defaultRowHeight="14.25" x14ac:dyDescent="0.45"/>
  <cols>
    <col min="2" max="2" width="31" bestFit="1" customWidth="1"/>
    <col min="3" max="3" width="14.33203125" style="22" customWidth="1"/>
    <col min="4" max="4" width="12" hidden="1" customWidth="1"/>
    <col min="5" max="5" width="12" style="22" customWidth="1"/>
    <col min="6" max="6" width="10.59765625" style="11" bestFit="1" customWidth="1"/>
    <col min="8" max="8" width="26.19921875" customWidth="1"/>
  </cols>
  <sheetData>
    <row r="1" spans="2:8" x14ac:dyDescent="0.45">
      <c r="B1" s="79" t="str">
        <f>'Bud27 vs Proj26'!B1</f>
        <v>Note: All figures are fictional and for illustration only.</v>
      </c>
    </row>
    <row r="3" spans="2:8" ht="18.75" x14ac:dyDescent="0.5">
      <c r="B3" s="21" t="s">
        <v>122</v>
      </c>
    </row>
    <row r="4" spans="2:8" ht="14.65" thickBot="1" x14ac:dyDescent="0.5"/>
    <row r="5" spans="2:8" ht="14.65" thickBot="1" x14ac:dyDescent="0.5">
      <c r="B5" s="82" t="s">
        <v>30</v>
      </c>
      <c r="C5" s="23" t="s">
        <v>64</v>
      </c>
      <c r="D5" s="23" t="s">
        <v>34</v>
      </c>
      <c r="E5" s="23" t="s">
        <v>63</v>
      </c>
      <c r="F5" s="24"/>
      <c r="G5" s="23" t="s">
        <v>35</v>
      </c>
      <c r="H5" s="82" t="s">
        <v>32</v>
      </c>
    </row>
    <row r="6" spans="2:8" ht="14.65" thickBot="1" x14ac:dyDescent="0.5">
      <c r="B6" s="82"/>
      <c r="C6" s="25" t="s">
        <v>114</v>
      </c>
      <c r="D6" s="25" t="s">
        <v>36</v>
      </c>
      <c r="E6" s="25" t="s">
        <v>113</v>
      </c>
      <c r="F6" s="24" t="s">
        <v>37</v>
      </c>
      <c r="G6" s="25" t="s">
        <v>38</v>
      </c>
      <c r="H6" s="82"/>
    </row>
    <row r="7" spans="2:8" x14ac:dyDescent="0.45">
      <c r="B7" s="26" t="s">
        <v>39</v>
      </c>
      <c r="C7" s="27"/>
      <c r="D7" s="28"/>
      <c r="E7" s="29"/>
      <c r="F7" s="30"/>
      <c r="G7" s="31"/>
      <c r="H7" s="32"/>
    </row>
    <row r="8" spans="2:8" x14ac:dyDescent="0.45">
      <c r="B8" s="33" t="s">
        <v>40</v>
      </c>
      <c r="C8" s="34">
        <f>C10+C16</f>
        <v>932</v>
      </c>
      <c r="D8" s="11">
        <f>D10+D16</f>
        <v>906.66666666666663</v>
      </c>
      <c r="E8" s="35">
        <f>E10+E16</f>
        <v>924</v>
      </c>
      <c r="F8" s="36">
        <f>F10+F16</f>
        <v>680</v>
      </c>
      <c r="G8" s="37">
        <f>(E8-C8)/C8</f>
        <v>-8.5836909871244635E-3</v>
      </c>
      <c r="H8" s="38"/>
    </row>
    <row r="9" spans="2:8" x14ac:dyDescent="0.45">
      <c r="B9" s="39" t="s">
        <v>39</v>
      </c>
      <c r="C9" s="40"/>
      <c r="E9" s="41"/>
      <c r="F9" s="36"/>
      <c r="G9" s="42"/>
      <c r="H9" s="38"/>
    </row>
    <row r="10" spans="2:8" x14ac:dyDescent="0.45">
      <c r="B10" s="43" t="s">
        <v>41</v>
      </c>
      <c r="C10" s="44">
        <f>SUM(C11:C14)</f>
        <v>487</v>
      </c>
      <c r="D10" s="11">
        <f>SUM(D11:D14)</f>
        <v>426.66666666666669</v>
      </c>
      <c r="E10" s="44">
        <f>SUM(E11:E14)</f>
        <v>473</v>
      </c>
      <c r="F10" s="36">
        <f>SUM(F11:F14)</f>
        <v>320</v>
      </c>
      <c r="G10" s="37">
        <f t="shared" ref="G10:G32" si="0">(E10-C10)/C10</f>
        <v>-2.8747433264887063E-2</v>
      </c>
      <c r="H10" s="38"/>
    </row>
    <row r="11" spans="2:8" x14ac:dyDescent="0.45">
      <c r="B11" s="39" t="s">
        <v>42</v>
      </c>
      <c r="C11" s="41">
        <f>'Bud27 vs Proj26'!E12/1000</f>
        <v>457</v>
      </c>
      <c r="D11">
        <f>F11/9*12</f>
        <v>400</v>
      </c>
      <c r="E11" s="41">
        <f>'Bud27 vs Proj26'!F12/1000</f>
        <v>440</v>
      </c>
      <c r="F11" s="36">
        <v>300</v>
      </c>
      <c r="G11" s="42">
        <f t="shared" si="0"/>
        <v>-3.7199124726477024E-2</v>
      </c>
      <c r="H11" s="38"/>
    </row>
    <row r="12" spans="2:8" x14ac:dyDescent="0.45">
      <c r="B12" s="39" t="s">
        <v>43</v>
      </c>
      <c r="C12" s="40">
        <v>0</v>
      </c>
      <c r="D12">
        <f t="shared" ref="D12:D14" si="1">F12/9*12</f>
        <v>0</v>
      </c>
      <c r="E12" s="41"/>
      <c r="F12" s="36"/>
      <c r="G12" s="42"/>
      <c r="H12" s="38"/>
    </row>
    <row r="13" spans="2:8" x14ac:dyDescent="0.45">
      <c r="B13" s="39" t="s">
        <v>44</v>
      </c>
      <c r="C13" s="40">
        <v>0</v>
      </c>
      <c r="D13">
        <f t="shared" si="1"/>
        <v>0</v>
      </c>
      <c r="E13" s="41"/>
      <c r="F13" s="36"/>
      <c r="G13" s="42"/>
      <c r="H13" s="38"/>
    </row>
    <row r="14" spans="2:8" x14ac:dyDescent="0.45">
      <c r="B14" s="39" t="s">
        <v>45</v>
      </c>
      <c r="C14" s="45">
        <f>'Bud27 vs Proj26'!E10/1000</f>
        <v>30</v>
      </c>
      <c r="D14">
        <f t="shared" si="1"/>
        <v>26.666666666666668</v>
      </c>
      <c r="E14" s="45">
        <f>'Bud27 vs Proj26'!F10/1000</f>
        <v>33</v>
      </c>
      <c r="F14" s="36">
        <v>20</v>
      </c>
      <c r="G14" s="42">
        <f t="shared" si="0"/>
        <v>0.1</v>
      </c>
      <c r="H14" s="38"/>
    </row>
    <row r="15" spans="2:8" x14ac:dyDescent="0.45">
      <c r="B15" s="39" t="s">
        <v>39</v>
      </c>
      <c r="C15" s="40" t="s">
        <v>39</v>
      </c>
      <c r="E15" s="41"/>
      <c r="F15" s="36"/>
      <c r="G15" s="42"/>
      <c r="H15" s="38"/>
    </row>
    <row r="16" spans="2:8" x14ac:dyDescent="0.45">
      <c r="B16" s="43" t="s">
        <v>46</v>
      </c>
      <c r="C16" s="44">
        <f>SUM(C17:C26)</f>
        <v>445</v>
      </c>
      <c r="D16" s="11">
        <f>SUM(D17:D26)</f>
        <v>479.99999999999994</v>
      </c>
      <c r="E16" s="44">
        <f>SUM(E17:E26)</f>
        <v>451</v>
      </c>
      <c r="F16" s="36">
        <f>SUM(F17:F26)</f>
        <v>360</v>
      </c>
      <c r="G16" s="37">
        <f t="shared" si="0"/>
        <v>1.3483146067415731E-2</v>
      </c>
      <c r="H16" s="38"/>
    </row>
    <row r="17" spans="2:8" x14ac:dyDescent="0.45">
      <c r="B17" s="39" t="s">
        <v>47</v>
      </c>
      <c r="C17" s="40">
        <v>0</v>
      </c>
      <c r="D17">
        <f t="shared" ref="D17:D26" si="2">F17/9*12</f>
        <v>0</v>
      </c>
      <c r="E17" s="41"/>
      <c r="F17" s="36"/>
      <c r="G17" s="42"/>
      <c r="H17" s="38"/>
    </row>
    <row r="18" spans="2:8" x14ac:dyDescent="0.45">
      <c r="B18" s="39" t="s">
        <v>48</v>
      </c>
      <c r="C18" s="41">
        <f>'Bud27 vs Proj26'!E11/1000</f>
        <v>130</v>
      </c>
      <c r="D18">
        <f t="shared" si="2"/>
        <v>120</v>
      </c>
      <c r="E18" s="41">
        <f>'Bud27 vs Proj26'!F11/1000</f>
        <v>140</v>
      </c>
      <c r="F18" s="36">
        <v>90</v>
      </c>
      <c r="G18" s="42">
        <f t="shared" si="0"/>
        <v>7.6923076923076927E-2</v>
      </c>
      <c r="H18" s="38"/>
    </row>
    <row r="19" spans="2:8" x14ac:dyDescent="0.45">
      <c r="B19" s="39" t="s">
        <v>49</v>
      </c>
      <c r="C19" s="41">
        <f>'Bud27 vs Proj26'!E15/1000</f>
        <v>60</v>
      </c>
      <c r="D19">
        <f t="shared" si="2"/>
        <v>93.333333333333329</v>
      </c>
      <c r="E19" s="41">
        <f>'Bud27 vs Proj26'!F15/1000</f>
        <v>15</v>
      </c>
      <c r="F19" s="36">
        <v>70</v>
      </c>
      <c r="G19" s="42">
        <f t="shared" si="0"/>
        <v>-0.75</v>
      </c>
      <c r="H19" s="38"/>
    </row>
    <row r="20" spans="2:8" x14ac:dyDescent="0.45">
      <c r="B20" s="39" t="s">
        <v>50</v>
      </c>
      <c r="C20" s="41">
        <f>'Bud27 vs Proj26'!E7/1000</f>
        <v>63</v>
      </c>
      <c r="D20">
        <f t="shared" si="2"/>
        <v>186.66666666666666</v>
      </c>
      <c r="E20" s="41">
        <f>'Bud27 vs Proj26'!F7/1000</f>
        <v>61</v>
      </c>
      <c r="F20" s="36">
        <v>140</v>
      </c>
      <c r="G20" s="42">
        <f t="shared" si="0"/>
        <v>-3.1746031746031744E-2</v>
      </c>
      <c r="H20" s="38"/>
    </row>
    <row r="21" spans="2:8" x14ac:dyDescent="0.45">
      <c r="B21" s="39" t="s">
        <v>51</v>
      </c>
      <c r="C21" s="40">
        <v>0</v>
      </c>
      <c r="D21">
        <f t="shared" si="2"/>
        <v>0</v>
      </c>
      <c r="E21" s="41">
        <v>0</v>
      </c>
      <c r="F21" s="36"/>
      <c r="G21" s="42"/>
      <c r="H21" s="38"/>
    </row>
    <row r="22" spans="2:8" x14ac:dyDescent="0.45">
      <c r="B22" s="39" t="s">
        <v>52</v>
      </c>
      <c r="C22" s="41">
        <f>'Bud27 vs Proj26'!E8/1000</f>
        <v>38</v>
      </c>
      <c r="D22">
        <f t="shared" si="2"/>
        <v>13.333333333333334</v>
      </c>
      <c r="E22" s="41">
        <f>'Bud27 vs Proj26'!F8/1000</f>
        <v>30</v>
      </c>
      <c r="F22" s="36">
        <v>10</v>
      </c>
      <c r="G22" s="42">
        <f t="shared" si="0"/>
        <v>-0.21052631578947367</v>
      </c>
      <c r="H22" s="38"/>
    </row>
    <row r="23" spans="2:8" x14ac:dyDescent="0.45">
      <c r="B23" s="39" t="s">
        <v>53</v>
      </c>
      <c r="C23" s="41">
        <f>'Bud27 vs Proj26'!E13/1000</f>
        <v>134</v>
      </c>
      <c r="D23">
        <f t="shared" si="2"/>
        <v>53.333333333333336</v>
      </c>
      <c r="E23" s="41">
        <f>'Bud27 vs Proj26'!F13/1000</f>
        <v>200</v>
      </c>
      <c r="F23" s="36">
        <v>40</v>
      </c>
      <c r="G23" s="42">
        <f t="shared" si="0"/>
        <v>0.4925373134328358</v>
      </c>
      <c r="H23" s="38"/>
    </row>
    <row r="24" spans="2:8" x14ac:dyDescent="0.45">
      <c r="B24" s="39" t="s">
        <v>54</v>
      </c>
      <c r="C24" s="41">
        <f>'Bud27 vs Proj26'!E14/1000</f>
        <v>20</v>
      </c>
      <c r="D24">
        <f t="shared" si="2"/>
        <v>13.333333333333334</v>
      </c>
      <c r="E24" s="41">
        <f>'Bud27 vs Proj26'!F14/1000</f>
        <v>5</v>
      </c>
      <c r="F24" s="36">
        <v>10</v>
      </c>
      <c r="G24" s="42">
        <f t="shared" si="0"/>
        <v>-0.75</v>
      </c>
      <c r="H24" s="38"/>
    </row>
    <row r="25" spans="2:8" x14ac:dyDescent="0.45">
      <c r="B25" s="39" t="s">
        <v>55</v>
      </c>
      <c r="C25" s="46">
        <v>0</v>
      </c>
      <c r="D25" s="10">
        <f t="shared" si="2"/>
        <v>0</v>
      </c>
      <c r="E25" s="41">
        <v>0</v>
      </c>
      <c r="F25" s="36"/>
      <c r="G25" s="42">
        <f>IFERROR((E25-C25)/C25,0)</f>
        <v>0</v>
      </c>
      <c r="H25" s="38"/>
    </row>
    <row r="26" spans="2:8" x14ac:dyDescent="0.45">
      <c r="B26" s="39" t="s">
        <v>56</v>
      </c>
      <c r="C26" s="40">
        <v>0</v>
      </c>
      <c r="D26">
        <f t="shared" si="2"/>
        <v>0</v>
      </c>
      <c r="E26" s="41">
        <f t="shared" ref="E26" si="3">D26*1.5</f>
        <v>0</v>
      </c>
      <c r="F26" s="36"/>
      <c r="G26" s="42">
        <f>IFERROR((E26-C26)/C26,0)</f>
        <v>0</v>
      </c>
      <c r="H26" s="38"/>
    </row>
    <row r="27" spans="2:8" x14ac:dyDescent="0.45">
      <c r="B27" s="39" t="s">
        <v>39</v>
      </c>
      <c r="C27" s="40" t="s">
        <v>39</v>
      </c>
      <c r="E27" s="41"/>
      <c r="F27" s="36"/>
      <c r="G27" s="42"/>
      <c r="H27" s="38"/>
    </row>
    <row r="28" spans="2:8" x14ac:dyDescent="0.45">
      <c r="B28" s="43" t="s">
        <v>57</v>
      </c>
      <c r="C28" s="47">
        <v>35</v>
      </c>
      <c r="D28">
        <v>50</v>
      </c>
      <c r="E28" s="44">
        <v>30</v>
      </c>
      <c r="F28" s="36">
        <v>10</v>
      </c>
      <c r="G28" s="48">
        <f t="shared" si="0"/>
        <v>-0.14285714285714285</v>
      </c>
      <c r="H28" s="38"/>
    </row>
    <row r="29" spans="2:8" x14ac:dyDescent="0.45">
      <c r="B29" s="39" t="s">
        <v>39</v>
      </c>
      <c r="C29" s="40" t="s">
        <v>39</v>
      </c>
      <c r="E29" s="41"/>
      <c r="F29" s="36"/>
      <c r="G29" s="49"/>
      <c r="H29" s="38"/>
    </row>
    <row r="30" spans="2:8" x14ac:dyDescent="0.45">
      <c r="B30" s="43" t="s">
        <v>58</v>
      </c>
      <c r="C30" s="44">
        <f>C28+C8</f>
        <v>967</v>
      </c>
      <c r="D30">
        <f>D28+D8</f>
        <v>956.66666666666663</v>
      </c>
      <c r="E30" s="44">
        <f>E28+E8</f>
        <v>954</v>
      </c>
      <c r="F30" s="36"/>
      <c r="G30" s="37">
        <f t="shared" si="0"/>
        <v>-1.344364012409514E-2</v>
      </c>
      <c r="H30" s="38"/>
    </row>
    <row r="31" spans="2:8" x14ac:dyDescent="0.45">
      <c r="B31" s="39" t="s">
        <v>39</v>
      </c>
      <c r="C31" s="40" t="s">
        <v>39</v>
      </c>
      <c r="E31" s="50"/>
      <c r="F31" s="36"/>
      <c r="G31" s="49"/>
      <c r="H31" s="38"/>
    </row>
    <row r="32" spans="2:8" x14ac:dyDescent="0.45">
      <c r="B32" s="39" t="s">
        <v>59</v>
      </c>
      <c r="C32" s="51">
        <v>11000</v>
      </c>
      <c r="E32" s="45">
        <v>13000</v>
      </c>
      <c r="F32" s="36"/>
      <c r="G32" s="42">
        <f t="shared" si="0"/>
        <v>0.18181818181818182</v>
      </c>
      <c r="H32" s="38"/>
    </row>
    <row r="33" spans="2:8" x14ac:dyDescent="0.45">
      <c r="B33" s="39" t="s">
        <v>60</v>
      </c>
      <c r="C33" s="52">
        <f>C30/C32</f>
        <v>8.7909090909090909E-2</v>
      </c>
      <c r="E33" s="53">
        <f>E30/E32</f>
        <v>7.3384615384615381E-2</v>
      </c>
      <c r="F33" s="36"/>
      <c r="G33" s="49"/>
      <c r="H33" s="38"/>
    </row>
    <row r="34" spans="2:8" ht="14.65" thickBot="1" x14ac:dyDescent="0.5">
      <c r="B34" s="54"/>
      <c r="C34" s="55"/>
      <c r="D34" s="56"/>
      <c r="E34" s="57"/>
      <c r="F34" s="58"/>
      <c r="G34" s="59"/>
      <c r="H34" s="60"/>
    </row>
    <row r="35" spans="2:8" ht="14.65" thickBot="1" x14ac:dyDescent="0.5">
      <c r="B35" s="61" t="s">
        <v>61</v>
      </c>
      <c r="C35" s="62">
        <f>C30/C36</f>
        <v>0.24174999999999999</v>
      </c>
      <c r="E35" s="62">
        <f>E30/E36</f>
        <v>0.1908</v>
      </c>
      <c r="G35" s="63"/>
      <c r="H35" s="63"/>
    </row>
    <row r="36" spans="2:8" x14ac:dyDescent="0.45">
      <c r="B36" s="64" t="s">
        <v>62</v>
      </c>
      <c r="C36" s="65">
        <v>4000</v>
      </c>
      <c r="E36" s="66">
        <v>5000</v>
      </c>
    </row>
    <row r="38" spans="2:8" x14ac:dyDescent="0.45">
      <c r="E38" s="67"/>
    </row>
  </sheetData>
  <mergeCells count="2">
    <mergeCell ref="B5:B6"/>
    <mergeCell ref="H5:H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CBAC1-BADA-45C3-9685-E044FBE09E9B}">
  <sheetPr codeName="Sheet4"/>
  <dimension ref="B2:F13"/>
  <sheetViews>
    <sheetView workbookViewId="0">
      <selection activeCell="C12" sqref="C12"/>
    </sheetView>
  </sheetViews>
  <sheetFormatPr defaultRowHeight="14.25" x14ac:dyDescent="0.45"/>
  <cols>
    <col min="2" max="2" width="12.06640625" bestFit="1" customWidth="1"/>
    <col min="3" max="3" width="10.33203125" customWidth="1"/>
    <col min="4" max="4" width="10.19921875" customWidth="1"/>
    <col min="5" max="5" width="10.33203125" customWidth="1"/>
  </cols>
  <sheetData>
    <row r="2" spans="2:6" x14ac:dyDescent="0.45">
      <c r="B2" s="79" t="str">
        <f>'OH Summary'!B1</f>
        <v>Note: All figures are fictional and for illustration only.</v>
      </c>
    </row>
    <row r="4" spans="2:6" x14ac:dyDescent="0.45">
      <c r="B4" s="83" t="s">
        <v>30</v>
      </c>
      <c r="C4" s="68" t="s">
        <v>63</v>
      </c>
      <c r="D4" s="68" t="s">
        <v>64</v>
      </c>
      <c r="E4" s="68" t="s">
        <v>63</v>
      </c>
      <c r="F4" s="68" t="s">
        <v>65</v>
      </c>
    </row>
    <row r="5" spans="2:6" x14ac:dyDescent="0.45">
      <c r="B5" s="84"/>
      <c r="C5" s="68" t="s">
        <v>113</v>
      </c>
      <c r="D5" s="68" t="s">
        <v>114</v>
      </c>
      <c r="E5" s="68" t="s">
        <v>114</v>
      </c>
      <c r="F5" s="68" t="s">
        <v>36</v>
      </c>
    </row>
    <row r="6" spans="2:6" x14ac:dyDescent="0.45">
      <c r="B6" s="85"/>
      <c r="C6" s="68" t="s">
        <v>66</v>
      </c>
      <c r="D6" s="68" t="s">
        <v>66</v>
      </c>
      <c r="E6" s="68" t="s">
        <v>66</v>
      </c>
      <c r="F6" s="68" t="s">
        <v>66</v>
      </c>
    </row>
    <row r="7" spans="2:6" x14ac:dyDescent="0.45">
      <c r="B7" s="69" t="s">
        <v>67</v>
      </c>
      <c r="C7" s="70">
        <v>13</v>
      </c>
      <c r="D7" s="70">
        <v>12</v>
      </c>
      <c r="E7" s="70">
        <v>11</v>
      </c>
      <c r="F7" s="70">
        <v>9</v>
      </c>
    </row>
    <row r="8" spans="2:6" x14ac:dyDescent="0.45">
      <c r="B8" s="69" t="s">
        <v>68</v>
      </c>
      <c r="C8" s="70">
        <v>5</v>
      </c>
      <c r="D8" s="70">
        <v>4</v>
      </c>
      <c r="E8" s="70">
        <v>3.5</v>
      </c>
      <c r="F8" s="70">
        <v>3</v>
      </c>
    </row>
    <row r="9" spans="2:6" x14ac:dyDescent="0.45">
      <c r="B9" s="69" t="s">
        <v>60</v>
      </c>
      <c r="C9" s="71">
        <f>C8/C7</f>
        <v>0.38461538461538464</v>
      </c>
      <c r="D9" s="71">
        <f>D8/D7</f>
        <v>0.33333333333333331</v>
      </c>
      <c r="E9" s="71">
        <f>E8/E7</f>
        <v>0.31818181818181818</v>
      </c>
      <c r="F9" s="71">
        <f>F8/F7</f>
        <v>0.33333333333333331</v>
      </c>
    </row>
    <row r="10" spans="2:6" x14ac:dyDescent="0.45">
      <c r="B10" s="69" t="s">
        <v>69</v>
      </c>
      <c r="C10" s="70">
        <f>'Bud27 vs Proj26'!F16/1000000</f>
        <v>0.92400000000000004</v>
      </c>
      <c r="D10" s="70">
        <f>'Bud27 vs Proj26'!E16/1000000</f>
        <v>0.93200000000000005</v>
      </c>
      <c r="E10" s="70">
        <f>'Bud27 vs Proj26'!G16/1000000</f>
        <v>0.90800000000000003</v>
      </c>
      <c r="F10" s="70">
        <v>0.79322948000000004</v>
      </c>
    </row>
    <row r="11" spans="2:6" x14ac:dyDescent="0.45">
      <c r="B11" s="69" t="s">
        <v>60</v>
      </c>
      <c r="C11" s="71">
        <f>C10/C7</f>
        <v>7.1076923076923079E-2</v>
      </c>
      <c r="D11" s="71">
        <f>D10/D7</f>
        <v>7.7666666666666676E-2</v>
      </c>
      <c r="E11" s="71">
        <f>E10/E7</f>
        <v>8.2545454545454547E-2</v>
      </c>
      <c r="F11" s="71">
        <f>F10/F7</f>
        <v>8.8136608888888898E-2</v>
      </c>
    </row>
    <row r="12" spans="2:6" x14ac:dyDescent="0.45">
      <c r="B12" s="69" t="s">
        <v>70</v>
      </c>
      <c r="C12" s="70">
        <f>C8-C10</f>
        <v>4.0759999999999996</v>
      </c>
      <c r="D12" s="70">
        <f>D8-D10</f>
        <v>3.0680000000000001</v>
      </c>
      <c r="E12" s="70">
        <f>E8-E10</f>
        <v>2.5920000000000001</v>
      </c>
      <c r="F12" s="70">
        <f>F8-F10</f>
        <v>2.2067705200000001</v>
      </c>
    </row>
    <row r="13" spans="2:6" x14ac:dyDescent="0.45">
      <c r="B13" s="69" t="s">
        <v>71</v>
      </c>
      <c r="C13" s="71">
        <f>C12/C7</f>
        <v>0.31353846153846149</v>
      </c>
      <c r="D13" s="71">
        <f>D12/D7</f>
        <v>0.25566666666666665</v>
      </c>
      <c r="E13" s="71">
        <f>E12/E7</f>
        <v>0.23563636363636364</v>
      </c>
      <c r="F13" s="71">
        <f>F12/F7</f>
        <v>0.24519672444444446</v>
      </c>
    </row>
  </sheetData>
  <mergeCells count="1">
    <mergeCell ref="B4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Bud27 vs Proj26</vt:lpstr>
      <vt:lpstr>Budget-27</vt:lpstr>
      <vt:lpstr>OH Summary</vt:lpstr>
      <vt:lpstr>P&amp;L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2026-10-06T17:24:57Z</dcterms:created>
  <dcterms:modified xsi:type="dcterms:W3CDTF">2026-10-07T06:50:12Z</dcterms:modified>
</cp:coreProperties>
</file>