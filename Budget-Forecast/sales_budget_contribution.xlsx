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Personal\Traning\Scholarship\Githab\Upload করা হবে\finance-accounting-portfolio\finance-accounting-portfolio\Budget-Forecast\"/>
    </mc:Choice>
  </mc:AlternateContent>
  <xr:revisionPtr revIDLastSave="0" documentId="13_ncr:1_{CD38BD4D-E641-4447-BFB9-3155E064832D}" xr6:coauthVersionLast="47" xr6:coauthVersionMax="47" xr10:uidLastSave="{00000000-0000-0000-0000-000000000000}"/>
  <bookViews>
    <workbookView xWindow="-98" yWindow="-98" windowWidth="21795" windowHeight="12975" xr2:uid="{26D62E50-AC9F-4567-8DA4-7177BA54E307}"/>
  </bookViews>
  <sheets>
    <sheet name="Sales Budget &amp; Contribu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1" l="1"/>
  <c r="L15" i="1" s="1"/>
  <c r="H15" i="1"/>
  <c r="I15" i="1" s="1"/>
  <c r="H14" i="1"/>
  <c r="I14" i="1" s="1"/>
  <c r="H13" i="1"/>
  <c r="I13" i="1" s="1"/>
  <c r="H12" i="1"/>
  <c r="I12" i="1" s="1"/>
  <c r="H11" i="1"/>
  <c r="I11" i="1" s="1"/>
  <c r="H10" i="1"/>
  <c r="I10" i="1" s="1"/>
  <c r="H9" i="1"/>
  <c r="I9" i="1" s="1"/>
  <c r="J14" i="1"/>
  <c r="L14" i="1" s="1"/>
  <c r="J13" i="1"/>
  <c r="L13" i="1" s="1"/>
  <c r="J12" i="1"/>
  <c r="L12" i="1" s="1"/>
  <c r="J11" i="1"/>
  <c r="L11" i="1" s="1"/>
  <c r="J10" i="1"/>
  <c r="L10" i="1" s="1"/>
  <c r="J9" i="1"/>
  <c r="L9" i="1" s="1"/>
  <c r="T15" i="1"/>
  <c r="S15" i="1"/>
  <c r="O15" i="1"/>
  <c r="M15" i="1"/>
  <c r="T14" i="1"/>
  <c r="S14" i="1"/>
  <c r="O14" i="1"/>
  <c r="M14" i="1"/>
  <c r="P14" i="1" s="1"/>
  <c r="T13" i="1"/>
  <c r="S13" i="1"/>
  <c r="O13" i="1"/>
  <c r="M13" i="1"/>
  <c r="T12" i="1"/>
  <c r="F20" i="1" s="1"/>
  <c r="S12" i="1"/>
  <c r="O12" i="1"/>
  <c r="M12" i="1"/>
  <c r="P12" i="1" s="1"/>
  <c r="T11" i="1"/>
  <c r="S11" i="1"/>
  <c r="O11" i="1"/>
  <c r="M11" i="1"/>
  <c r="P11" i="1" s="1"/>
  <c r="T10" i="1"/>
  <c r="S10" i="1"/>
  <c r="O10" i="1"/>
  <c r="M10" i="1"/>
  <c r="T9" i="1"/>
  <c r="S9" i="1"/>
  <c r="O9" i="1"/>
  <c r="M9" i="1"/>
  <c r="P15" i="1" l="1"/>
  <c r="V15" i="1" s="1"/>
  <c r="X15" i="1" s="1"/>
  <c r="P13" i="1"/>
  <c r="U13" i="1" s="1"/>
  <c r="W13" i="1" s="1"/>
  <c r="F21" i="1"/>
  <c r="F22" i="1" s="1"/>
  <c r="E21" i="1"/>
  <c r="T16" i="1"/>
  <c r="M16" i="1"/>
  <c r="P9" i="1"/>
  <c r="U9" i="1" s="1"/>
  <c r="W9" i="1" s="1"/>
  <c r="P10" i="1"/>
  <c r="V10" i="1" s="1"/>
  <c r="X10" i="1" s="1"/>
  <c r="E20" i="1"/>
  <c r="V12" i="1"/>
  <c r="U12" i="1"/>
  <c r="W12" i="1" s="1"/>
  <c r="V14" i="1"/>
  <c r="X14" i="1" s="1"/>
  <c r="U14" i="1"/>
  <c r="W14" i="1" s="1"/>
  <c r="V11" i="1"/>
  <c r="X11" i="1" s="1"/>
  <c r="U11" i="1"/>
  <c r="W11" i="1" s="1"/>
  <c r="V9" i="1" l="1"/>
  <c r="X9" i="1" s="1"/>
  <c r="U15" i="1"/>
  <c r="W15" i="1" s="1"/>
  <c r="V13" i="1"/>
  <c r="X13" i="1" s="1"/>
  <c r="U10" i="1"/>
  <c r="W10" i="1" s="1"/>
  <c r="G21" i="1"/>
  <c r="H21" i="1" s="1"/>
  <c r="G20" i="1"/>
  <c r="E22" i="1"/>
  <c r="X12" i="1"/>
  <c r="V16" i="1" l="1"/>
  <c r="X16" i="1" s="1"/>
  <c r="H20" i="1"/>
  <c r="G22" i="1"/>
  <c r="H22" i="1" s="1"/>
</calcChain>
</file>

<file path=xl/sharedStrings.xml><?xml version="1.0" encoding="utf-8"?>
<sst xmlns="http://schemas.openxmlformats.org/spreadsheetml/2006/main" count="59" uniqueCount="47">
  <si>
    <t>Material</t>
  </si>
  <si>
    <t>Material Description</t>
  </si>
  <si>
    <t>Brand</t>
  </si>
  <si>
    <t>Business Type</t>
  </si>
  <si>
    <t>Sales Qty Unit</t>
  </si>
  <si>
    <t>Sum of Sales Qty</t>
  </si>
  <si>
    <t>Average of NSP</t>
  </si>
  <si>
    <t>Current NSP $</t>
  </si>
  <si>
    <t>Growth %</t>
  </si>
  <si>
    <t>Budgeted NSP BDT</t>
  </si>
  <si>
    <t>Current NSP BDT</t>
  </si>
  <si>
    <t>Current Vs Budget</t>
  </si>
  <si>
    <t>Sum of Revenue</t>
  </si>
  <si>
    <t>Frt PU</t>
  </si>
  <si>
    <t>Sales Deduction</t>
  </si>
  <si>
    <t>Net Realization</t>
  </si>
  <si>
    <t>PU COGS As per Import Value</t>
  </si>
  <si>
    <t>COGS1</t>
  </si>
  <si>
    <t>Cont</t>
  </si>
  <si>
    <t>Cont1</t>
  </si>
  <si>
    <t>Cont %</t>
  </si>
  <si>
    <t>Cont1 %</t>
  </si>
  <si>
    <t>B2C</t>
  </si>
  <si>
    <t>L</t>
  </si>
  <si>
    <t>f</t>
  </si>
  <si>
    <t>FY 2025 (B)</t>
  </si>
  <si>
    <t>B2B</t>
  </si>
  <si>
    <t>KG</t>
  </si>
  <si>
    <t>a</t>
  </si>
  <si>
    <t>b</t>
  </si>
  <si>
    <t>c</t>
  </si>
  <si>
    <t>d</t>
  </si>
  <si>
    <t>e</t>
  </si>
  <si>
    <t>g</t>
  </si>
  <si>
    <t>PU COGS (Budget File)</t>
  </si>
  <si>
    <t>COGS (Budget File)</t>
  </si>
  <si>
    <t>Cont (Budget File)</t>
  </si>
  <si>
    <t>Type</t>
  </si>
  <si>
    <t>Revenue</t>
  </si>
  <si>
    <t>Cogs</t>
  </si>
  <si>
    <t>Summary:</t>
  </si>
  <si>
    <t>Current FX rate (BDT per USD)</t>
  </si>
  <si>
    <t>Budget FX rate (BDT per USD)</t>
  </si>
  <si>
    <t>Revenue, Contribution &amp; Cont Margin Budget (Top Down Budget)</t>
  </si>
  <si>
    <t>Cont % (Budget File)</t>
  </si>
  <si>
    <t>Methodology: A top-down total budget is received from head office and allocated across the sales team. Selling prices and contribution margins are then adjusted for changes in import cost and the USD exchange rate. 
All figures are fictional and for illustration only.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</si>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</sst>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0_);_(* \(#,##0.00\);_(* \-??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b/>
      <sz val="10"/>
      <color rgb="FFFFFFFF"/>
      <name val="Times New Roman"/>
      <family val="1"/>
    </font>
    <font>
      <sz val="11"/>
      <name val="Calibri"/>
      <family val="2"/>
      <scheme val="minor"/>
    </font>
    <font>
      <b/>
      <sz val="11"/>
      <name val="Calibri"/>
      <family val="2"/>
      <scheme val="minor"/>
    </font>
    <font>
      <sz val="11"/>
      <color theme="1"/>
      <name val="Calibri"/>
      <family val="2"/>
      <charset val="1"/>
    </font>
    <font>
      <b/>
      <sz val="15"/>
      <color theme="1"/>
      <name val="Calibri"/>
      <family val="2"/>
      <scheme val="minor"/>
    </font>
    <font>
      <sz val="11"/>
      <color rgb="FF00B050"/>
      <name val="Calibri"/>
      <family val="2"/>
      <scheme val="minor"/>
    </font>
    <font>
      <sz val="11"/>
      <color rgb="FFC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9629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FFFFFF"/>
      </left>
      <right/>
      <top/>
      <bottom/>
      <diagonal/>
    </border>
    <border>
      <left/>
      <right/>
      <top style="thin">
        <color indexed="64"/>
      </top>
      <bottom style="double">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165" fontId="7" fillId="0" borderId="0"/>
    <xf numFmtId="9" fontId="7" fillId="0" borderId="0"/>
  </cellStyleXfs>
  <cellXfs count="44">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0" xfId="0" applyFont="1" applyAlignment="1">
      <alignment horizontal="center" vertical="center" wrapText="1"/>
    </xf>
    <xf numFmtId="0" fontId="4" fillId="5" borderId="4" xfId="0" applyFont="1" applyFill="1" applyBorder="1" applyAlignment="1">
      <alignment horizontal="centerContinuous" vertical="center" wrapText="1" readingOrder="1"/>
    </xf>
    <xf numFmtId="0" fontId="5" fillId="3" borderId="3" xfId="0" applyFont="1" applyFill="1" applyBorder="1"/>
    <xf numFmtId="43" fontId="5" fillId="3" borderId="3" xfId="0" applyNumberFormat="1" applyFont="1" applyFill="1" applyBorder="1"/>
    <xf numFmtId="9" fontId="5" fillId="3" borderId="3" xfId="2" applyFont="1" applyFill="1" applyBorder="1"/>
    <xf numFmtId="164" fontId="5" fillId="3" borderId="3" xfId="1" applyNumberFormat="1" applyFont="1" applyFill="1" applyBorder="1"/>
    <xf numFmtId="4" fontId="5" fillId="3" borderId="3" xfId="0" applyNumberFormat="1" applyFont="1" applyFill="1" applyBorder="1"/>
    <xf numFmtId="4" fontId="5" fillId="3" borderId="0" xfId="0" applyNumberFormat="1" applyFont="1" applyFill="1"/>
    <xf numFmtId="4" fontId="5" fillId="4" borderId="0" xfId="0" applyNumberFormat="1" applyFont="1" applyFill="1"/>
    <xf numFmtId="9" fontId="5" fillId="3" borderId="0" xfId="2" applyFont="1" applyFill="1" applyBorder="1"/>
    <xf numFmtId="9" fontId="5" fillId="4" borderId="0" xfId="2" applyFont="1" applyFill="1" applyBorder="1"/>
    <xf numFmtId="0" fontId="5" fillId="3" borderId="0" xfId="0" applyFont="1" applyFill="1"/>
    <xf numFmtId="0" fontId="5" fillId="3" borderId="1" xfId="0" applyFont="1" applyFill="1" applyBorder="1"/>
    <xf numFmtId="0" fontId="5" fillId="0" borderId="1" xfId="0" applyFont="1" applyBorder="1"/>
    <xf numFmtId="1" fontId="5" fillId="0" borderId="1" xfId="0" applyNumberFormat="1" applyFont="1" applyBorder="1"/>
    <xf numFmtId="4" fontId="5" fillId="0" borderId="1" xfId="0" applyNumberFormat="1" applyFont="1" applyBorder="1"/>
    <xf numFmtId="164" fontId="5" fillId="3" borderId="1" xfId="1" applyNumberFormat="1" applyFont="1" applyFill="1" applyBorder="1"/>
    <xf numFmtId="4" fontId="5" fillId="3" borderId="1" xfId="0" applyNumberFormat="1" applyFont="1" applyFill="1" applyBorder="1"/>
    <xf numFmtId="0" fontId="5" fillId="0" borderId="0" xfId="0" applyFont="1"/>
    <xf numFmtId="43" fontId="5" fillId="3" borderId="0" xfId="0" applyNumberFormat="1" applyFont="1" applyFill="1"/>
    <xf numFmtId="164" fontId="5" fillId="3" borderId="0" xfId="1" applyNumberFormat="1" applyFont="1" applyFill="1" applyBorder="1"/>
    <xf numFmtId="4" fontId="6" fillId="3" borderId="5" xfId="0" applyNumberFormat="1" applyFont="1" applyFill="1" applyBorder="1"/>
    <xf numFmtId="0" fontId="2" fillId="0" borderId="0" xfId="0" applyFont="1"/>
    <xf numFmtId="0" fontId="2" fillId="0" borderId="1" xfId="0" applyFont="1" applyBorder="1"/>
    <xf numFmtId="9" fontId="2" fillId="0" borderId="1" xfId="2" applyFont="1" applyBorder="1"/>
    <xf numFmtId="3" fontId="5" fillId="3" borderId="1" xfId="0" applyNumberFormat="1" applyFont="1" applyFill="1" applyBorder="1" applyAlignment="1">
      <alignment horizontal="center"/>
    </xf>
    <xf numFmtId="3" fontId="0" fillId="0" borderId="1" xfId="0" applyNumberFormat="1" applyBorder="1" applyAlignment="1">
      <alignment horizontal="center"/>
    </xf>
    <xf numFmtId="9" fontId="0" fillId="0" borderId="1" xfId="2" applyFont="1" applyBorder="1" applyAlignment="1">
      <alignment horizontal="center"/>
    </xf>
    <xf numFmtId="3" fontId="2" fillId="0" borderId="1" xfId="0" applyNumberFormat="1" applyFont="1" applyBorder="1" applyAlignment="1">
      <alignment horizontal="center"/>
    </xf>
    <xf numFmtId="0" fontId="2" fillId="0" borderId="1" xfId="0" applyFont="1" applyBorder="1" applyAlignment="1">
      <alignment horizontal="center"/>
    </xf>
    <xf numFmtId="164" fontId="2" fillId="0" borderId="1" xfId="1" applyNumberFormat="1" applyFont="1" applyFill="1" applyBorder="1" applyAlignment="1">
      <alignment horizontal="center" vertical="center" wrapText="1"/>
    </xf>
    <xf numFmtId="4" fontId="0" fillId="0" borderId="0" xfId="0" applyNumberFormat="1"/>
    <xf numFmtId="0" fontId="8" fillId="0" borderId="0" xfId="0" applyFont="1"/>
    <xf numFmtId="0" fontId="9" fillId="0" borderId="0" xfId="0" applyFont="1" applyAlignment="1">
      <alignment horizontal="left" wrapText="1"/>
    </xf>
    <xf numFmtId="0" fontId="5" fillId="3" borderId="3" xfId="0" applyFont="1" applyFill="1" applyBorder="1" applyAlignment="1">
      <alignment horizontal="center"/>
    </xf>
    <xf numFmtId="0" fontId="5" fillId="0" borderId="3" xfId="0" applyFont="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center"/>
    </xf>
    <xf numFmtId="0" fontId="10" fillId="0" borderId="0" xfId="0" applyFont="1" applyAlignment="1">
      <alignment horizontal="left" wrapText="1"/>
    </xf>
  </cellXfs>
  <cellStyles count="6">
    <cellStyle name="Comma" xfId="1" builtinId="3"/>
    <cellStyle name="Comma 2" xfId="4" xr:uid="{EACC6514-DE2B-40B5-A899-785F144D8083}"/>
    <cellStyle name="Normal" xfId="0" builtinId="0"/>
    <cellStyle name="Normal 2" xfId="3" xr:uid="{9C5C4661-05F7-42E9-AEE6-1F5A67DD95BA}"/>
    <cellStyle name="Percent" xfId="2" builtinId="5"/>
    <cellStyle name="Percent 2" xfId="5" xr:uid="{C097AC5A-1779-4EAF-A748-8A59DF9778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3A077-85AC-4909-92AB-208792EE8E11}">
  <dimension ref="A1:X22"/>
  <sheetViews>
    <sheetView tabSelected="1" workbookViewId="0">
      <selection activeCell="J15" sqref="J15"/>
    </sheetView>
  </sheetViews>
  <sheetFormatPr defaultRowHeight="14.25" x14ac:dyDescent="0.45"/>
  <sheetData>
    <row r="1" spans="1:24" ht="29.25" customHeight="1" x14ac:dyDescent="0.45">
      <c r="A1" s="43" t="s">
        <v>45</v>
      </c>
      <c r="B1" s="43"/>
      <c r="C1" s="43"/>
      <c r="D1" s="43"/>
      <c r="E1" s="43"/>
      <c r="F1" s="43"/>
      <c r="G1" s="43"/>
      <c r="H1" s="43"/>
      <c r="I1" s="43"/>
      <c r="J1" s="43"/>
      <c r="K1" s="43"/>
      <c r="L1" s="43"/>
      <c r="M1" s="43"/>
      <c r="N1" s="43"/>
      <c r="O1" s="43"/>
      <c r="P1" s="43"/>
      <c r="Q1" s="43"/>
      <c r="R1" s="43"/>
      <c r="S1" s="43"/>
      <c r="T1" s="43"/>
    </row>
    <row r="2" spans="1:24" ht="13.5" customHeight="1" x14ac:dyDescent="0.45">
      <c r="A2" s="38"/>
      <c r="B2" s="38"/>
      <c r="C2" s="38"/>
      <c r="D2" s="38"/>
      <c r="E2" s="38"/>
      <c r="F2" s="38"/>
      <c r="G2" s="38"/>
      <c r="H2" s="38"/>
      <c r="I2" s="38"/>
      <c r="J2" s="38"/>
      <c r="K2" s="38"/>
      <c r="L2" s="38"/>
      <c r="M2" s="38"/>
      <c r="N2" s="38"/>
      <c r="O2" s="38"/>
      <c r="P2" s="38"/>
      <c r="Q2" s="38"/>
      <c r="R2" s="38"/>
      <c r="S2" s="38"/>
      <c r="T2" s="38"/>
    </row>
    <row r="3" spans="1:24" ht="19.5" x14ac:dyDescent="0.6">
      <c r="A3" s="37" t="s">
        <v>43</v>
      </c>
    </row>
    <row r="4" spans="1:24" ht="19.5" x14ac:dyDescent="0.6">
      <c r="A4" s="37"/>
    </row>
    <row r="5" spans="1:24" x14ac:dyDescent="0.45">
      <c r="C5" t="s">
        <v>41</v>
      </c>
      <c r="F5" s="36">
        <v>123</v>
      </c>
    </row>
    <row r="6" spans="1:24" x14ac:dyDescent="0.45">
      <c r="C6" t="s">
        <v>42</v>
      </c>
      <c r="F6" s="36">
        <v>125</v>
      </c>
    </row>
    <row r="7" spans="1:24" x14ac:dyDescent="0.45">
      <c r="F7" s="6" t="s">
        <v>25</v>
      </c>
      <c r="G7" s="6"/>
      <c r="H7" s="6"/>
      <c r="I7" s="6"/>
      <c r="J7" s="6"/>
      <c r="K7" s="6"/>
      <c r="L7" s="6"/>
      <c r="M7" s="6"/>
      <c r="N7" s="6"/>
      <c r="O7" s="6"/>
      <c r="P7" s="6"/>
      <c r="Q7" s="6"/>
      <c r="R7" s="6"/>
      <c r="S7" s="6"/>
      <c r="T7" s="6"/>
      <c r="U7" s="6"/>
      <c r="V7" s="6"/>
      <c r="W7" s="6"/>
      <c r="X7" s="6"/>
    </row>
    <row r="8" spans="1:24" s="5" customFormat="1" ht="67.150000000000006" customHeight="1" x14ac:dyDescent="0.45">
      <c r="A8" s="1" t="s">
        <v>0</v>
      </c>
      <c r="B8" s="1" t="s">
        <v>1</v>
      </c>
      <c r="C8" s="1" t="s">
        <v>2</v>
      </c>
      <c r="D8" s="1" t="s">
        <v>3</v>
      </c>
      <c r="E8" s="1" t="s">
        <v>4</v>
      </c>
      <c r="F8" s="1" t="s">
        <v>5</v>
      </c>
      <c r="G8" s="1" t="s">
        <v>6</v>
      </c>
      <c r="H8" s="1" t="s">
        <v>7</v>
      </c>
      <c r="I8" s="1" t="s">
        <v>8</v>
      </c>
      <c r="J8" s="35" t="s">
        <v>9</v>
      </c>
      <c r="K8" s="35" t="s">
        <v>10</v>
      </c>
      <c r="L8" s="35" t="s">
        <v>11</v>
      </c>
      <c r="M8" s="1" t="s">
        <v>12</v>
      </c>
      <c r="N8" s="1" t="s">
        <v>13</v>
      </c>
      <c r="O8" s="1" t="s">
        <v>14</v>
      </c>
      <c r="P8" s="1" t="s">
        <v>15</v>
      </c>
      <c r="Q8" s="2" t="s">
        <v>34</v>
      </c>
      <c r="R8" s="3" t="s">
        <v>16</v>
      </c>
      <c r="S8" s="2" t="s">
        <v>35</v>
      </c>
      <c r="T8" s="3" t="s">
        <v>17</v>
      </c>
      <c r="U8" s="2" t="s">
        <v>36</v>
      </c>
      <c r="V8" s="3" t="s">
        <v>19</v>
      </c>
      <c r="W8" s="2" t="s">
        <v>44</v>
      </c>
      <c r="X8" s="4" t="s">
        <v>21</v>
      </c>
    </row>
    <row r="9" spans="1:24" s="16" customFormat="1" x14ac:dyDescent="0.45">
      <c r="A9" s="39">
        <v>1</v>
      </c>
      <c r="B9" s="39" t="s">
        <v>28</v>
      </c>
      <c r="C9" s="7"/>
      <c r="D9" s="39" t="s">
        <v>22</v>
      </c>
      <c r="E9" s="40" t="s">
        <v>23</v>
      </c>
      <c r="F9" s="7">
        <v>6</v>
      </c>
      <c r="G9" s="7">
        <v>17</v>
      </c>
      <c r="H9" s="8">
        <f t="shared" ref="H9:H15" si="0">K9/$F$5</f>
        <v>13.008130081300813</v>
      </c>
      <c r="I9" s="9">
        <f t="shared" ref="I9:I15" si="1">(G9/H9)-1</f>
        <v>0.30687500000000001</v>
      </c>
      <c r="J9" s="10">
        <f t="shared" ref="J9:J15" si="2">G9*$F$6</f>
        <v>2125</v>
      </c>
      <c r="K9" s="10">
        <v>1600</v>
      </c>
      <c r="L9" s="9">
        <f t="shared" ref="L9:L15" si="3">(J9/K9)-1</f>
        <v>0.328125</v>
      </c>
      <c r="M9" s="11">
        <f t="shared" ref="M9:M15" si="4">F9*G9</f>
        <v>102</v>
      </c>
      <c r="N9" s="12">
        <v>0.1</v>
      </c>
      <c r="O9" s="12">
        <f t="shared" ref="O9:O15" si="5">F9*N9</f>
        <v>0.60000000000000009</v>
      </c>
      <c r="P9" s="12">
        <f t="shared" ref="P9:P15" si="6">M9-O9</f>
        <v>101.4</v>
      </c>
      <c r="Q9" s="12">
        <v>10</v>
      </c>
      <c r="R9" s="13">
        <v>10.199999999999999</v>
      </c>
      <c r="S9" s="12">
        <f t="shared" ref="S9:S15" si="7">F9*Q9</f>
        <v>60</v>
      </c>
      <c r="T9" s="13">
        <f t="shared" ref="T9:T15" si="8">F9*R9</f>
        <v>61.199999999999996</v>
      </c>
      <c r="U9" s="12">
        <f t="shared" ref="U9:U15" si="9">P9-S9</f>
        <v>41.400000000000006</v>
      </c>
      <c r="V9" s="13">
        <f t="shared" ref="V9:V15" si="10">P9-T9</f>
        <v>40.20000000000001</v>
      </c>
      <c r="W9" s="14">
        <f t="shared" ref="W9:W15" si="11">IFERROR(U9/M9,0)</f>
        <v>0.40588235294117653</v>
      </c>
      <c r="X9" s="15">
        <f t="shared" ref="X9:X16" si="12">IFERROR(V9/M9,0)</f>
        <v>0.39411764705882363</v>
      </c>
    </row>
    <row r="10" spans="1:24" s="16" customFormat="1" x14ac:dyDescent="0.45">
      <c r="A10" s="39">
        <v>2</v>
      </c>
      <c r="B10" s="39" t="s">
        <v>29</v>
      </c>
      <c r="C10" s="7"/>
      <c r="D10" s="39" t="s">
        <v>22</v>
      </c>
      <c r="E10" s="40" t="s">
        <v>23</v>
      </c>
      <c r="F10" s="7">
        <v>6</v>
      </c>
      <c r="G10" s="7">
        <v>17</v>
      </c>
      <c r="H10" s="8">
        <f t="shared" si="0"/>
        <v>13.008130081300813</v>
      </c>
      <c r="I10" s="9">
        <f t="shared" si="1"/>
        <v>0.30687500000000001</v>
      </c>
      <c r="J10" s="10">
        <f t="shared" si="2"/>
        <v>2125</v>
      </c>
      <c r="K10" s="10">
        <v>1600</v>
      </c>
      <c r="L10" s="9">
        <f t="shared" si="3"/>
        <v>0.328125</v>
      </c>
      <c r="M10" s="11">
        <f t="shared" si="4"/>
        <v>102</v>
      </c>
      <c r="N10" s="12">
        <v>0.1</v>
      </c>
      <c r="O10" s="12">
        <f t="shared" si="5"/>
        <v>0.60000000000000009</v>
      </c>
      <c r="P10" s="12">
        <f t="shared" si="6"/>
        <v>101.4</v>
      </c>
      <c r="Q10" s="12">
        <v>11</v>
      </c>
      <c r="R10" s="13">
        <v>11.08</v>
      </c>
      <c r="S10" s="12">
        <f t="shared" si="7"/>
        <v>66</v>
      </c>
      <c r="T10" s="13">
        <f t="shared" si="8"/>
        <v>66.48</v>
      </c>
      <c r="U10" s="12">
        <f t="shared" si="9"/>
        <v>35.400000000000006</v>
      </c>
      <c r="V10" s="13">
        <f t="shared" si="10"/>
        <v>34.92</v>
      </c>
      <c r="W10" s="14">
        <f t="shared" si="11"/>
        <v>0.34705882352941181</v>
      </c>
      <c r="X10" s="15">
        <f t="shared" si="12"/>
        <v>0.34235294117647058</v>
      </c>
    </row>
    <row r="11" spans="1:24" s="16" customFormat="1" x14ac:dyDescent="0.45">
      <c r="A11" s="39">
        <v>3</v>
      </c>
      <c r="B11" s="39" t="s">
        <v>30</v>
      </c>
      <c r="C11" s="7"/>
      <c r="D11" s="39" t="s">
        <v>22</v>
      </c>
      <c r="E11" s="40" t="s">
        <v>23</v>
      </c>
      <c r="F11" s="7">
        <v>6</v>
      </c>
      <c r="G11" s="7">
        <v>17</v>
      </c>
      <c r="H11" s="8">
        <f t="shared" si="0"/>
        <v>13.008130081300813</v>
      </c>
      <c r="I11" s="9">
        <f t="shared" si="1"/>
        <v>0.30687500000000001</v>
      </c>
      <c r="J11" s="10">
        <f t="shared" si="2"/>
        <v>2125</v>
      </c>
      <c r="K11" s="10">
        <v>1600</v>
      </c>
      <c r="L11" s="9">
        <f t="shared" si="3"/>
        <v>0.328125</v>
      </c>
      <c r="M11" s="11">
        <f t="shared" si="4"/>
        <v>102</v>
      </c>
      <c r="N11" s="12">
        <v>0.1</v>
      </c>
      <c r="O11" s="12">
        <f t="shared" si="5"/>
        <v>0.60000000000000009</v>
      </c>
      <c r="P11" s="12">
        <f t="shared" si="6"/>
        <v>101.4</v>
      </c>
      <c r="Q11" s="12">
        <v>9</v>
      </c>
      <c r="R11" s="13">
        <v>9.9</v>
      </c>
      <c r="S11" s="12">
        <f t="shared" si="7"/>
        <v>54</v>
      </c>
      <c r="T11" s="13">
        <f t="shared" si="8"/>
        <v>59.400000000000006</v>
      </c>
      <c r="U11" s="12">
        <f t="shared" si="9"/>
        <v>47.400000000000006</v>
      </c>
      <c r="V11" s="13">
        <f t="shared" si="10"/>
        <v>42</v>
      </c>
      <c r="W11" s="14">
        <f t="shared" si="11"/>
        <v>0.46470588235294125</v>
      </c>
      <c r="X11" s="15">
        <f t="shared" si="12"/>
        <v>0.41176470588235292</v>
      </c>
    </row>
    <row r="12" spans="1:24" s="16" customFormat="1" x14ac:dyDescent="0.45">
      <c r="A12" s="39">
        <v>4</v>
      </c>
      <c r="B12" s="39" t="s">
        <v>31</v>
      </c>
      <c r="C12" s="7"/>
      <c r="D12" s="41" t="s">
        <v>26</v>
      </c>
      <c r="E12" s="42" t="s">
        <v>27</v>
      </c>
      <c r="F12" s="19">
        <v>20</v>
      </c>
      <c r="G12" s="18">
        <v>8</v>
      </c>
      <c r="H12" s="8">
        <f t="shared" si="0"/>
        <v>7.3170731707317076</v>
      </c>
      <c r="I12" s="9">
        <f t="shared" si="1"/>
        <v>9.3333333333333268E-2</v>
      </c>
      <c r="J12" s="10">
        <f t="shared" si="2"/>
        <v>1000</v>
      </c>
      <c r="K12" s="10">
        <v>900</v>
      </c>
      <c r="L12" s="9">
        <f t="shared" si="3"/>
        <v>0.11111111111111116</v>
      </c>
      <c r="M12" s="20">
        <f t="shared" si="4"/>
        <v>160</v>
      </c>
      <c r="N12" s="12">
        <v>0.1</v>
      </c>
      <c r="O12" s="12">
        <f t="shared" si="5"/>
        <v>2</v>
      </c>
      <c r="P12" s="12">
        <f t="shared" si="6"/>
        <v>158</v>
      </c>
      <c r="Q12" s="12">
        <v>7</v>
      </c>
      <c r="R12" s="13">
        <v>6.9</v>
      </c>
      <c r="S12" s="12">
        <f t="shared" si="7"/>
        <v>140</v>
      </c>
      <c r="T12" s="13">
        <f t="shared" si="8"/>
        <v>138</v>
      </c>
      <c r="U12" s="12">
        <f t="shared" si="9"/>
        <v>18</v>
      </c>
      <c r="V12" s="13">
        <f t="shared" si="10"/>
        <v>20</v>
      </c>
      <c r="W12" s="14">
        <f t="shared" si="11"/>
        <v>0.1125</v>
      </c>
      <c r="X12" s="15">
        <f t="shared" si="12"/>
        <v>0.125</v>
      </c>
    </row>
    <row r="13" spans="1:24" s="16" customFormat="1" x14ac:dyDescent="0.45">
      <c r="A13" s="39">
        <v>5</v>
      </c>
      <c r="B13" s="39" t="s">
        <v>32</v>
      </c>
      <c r="C13" s="7"/>
      <c r="D13" s="41" t="s">
        <v>22</v>
      </c>
      <c r="E13" s="42" t="s">
        <v>27</v>
      </c>
      <c r="F13" s="19">
        <v>20</v>
      </c>
      <c r="G13" s="17">
        <v>8</v>
      </c>
      <c r="H13" s="8">
        <f t="shared" si="0"/>
        <v>7.3170731707317076</v>
      </c>
      <c r="I13" s="9">
        <f t="shared" si="1"/>
        <v>9.3333333333333268E-2</v>
      </c>
      <c r="J13" s="10">
        <f t="shared" si="2"/>
        <v>1000</v>
      </c>
      <c r="K13" s="10">
        <v>900</v>
      </c>
      <c r="L13" s="9">
        <f t="shared" si="3"/>
        <v>0.11111111111111116</v>
      </c>
      <c r="M13" s="22">
        <f t="shared" si="4"/>
        <v>160</v>
      </c>
      <c r="N13" s="12">
        <v>0.1</v>
      </c>
      <c r="O13" s="12">
        <f t="shared" si="5"/>
        <v>2</v>
      </c>
      <c r="P13" s="12">
        <f t="shared" si="6"/>
        <v>158</v>
      </c>
      <c r="Q13" s="12">
        <v>6</v>
      </c>
      <c r="R13" s="13">
        <v>5.8</v>
      </c>
      <c r="S13" s="12">
        <f t="shared" si="7"/>
        <v>120</v>
      </c>
      <c r="T13" s="13">
        <f t="shared" si="8"/>
        <v>116</v>
      </c>
      <c r="U13" s="12">
        <f t="shared" si="9"/>
        <v>38</v>
      </c>
      <c r="V13" s="13">
        <f t="shared" si="10"/>
        <v>42</v>
      </c>
      <c r="W13" s="14">
        <f t="shared" si="11"/>
        <v>0.23749999999999999</v>
      </c>
      <c r="X13" s="15">
        <f t="shared" si="12"/>
        <v>0.26250000000000001</v>
      </c>
    </row>
    <row r="14" spans="1:24" s="16" customFormat="1" x14ac:dyDescent="0.45">
      <c r="A14" s="39">
        <v>6</v>
      </c>
      <c r="B14" s="39" t="s">
        <v>24</v>
      </c>
      <c r="C14" s="7"/>
      <c r="D14" s="41" t="s">
        <v>22</v>
      </c>
      <c r="E14" s="42" t="s">
        <v>27</v>
      </c>
      <c r="F14" s="19">
        <v>20</v>
      </c>
      <c r="G14" s="17">
        <v>8</v>
      </c>
      <c r="H14" s="8">
        <f t="shared" si="0"/>
        <v>7.3170731707317076</v>
      </c>
      <c r="I14" s="9">
        <f t="shared" si="1"/>
        <v>9.3333333333333268E-2</v>
      </c>
      <c r="J14" s="10">
        <f t="shared" si="2"/>
        <v>1000</v>
      </c>
      <c r="K14" s="10">
        <v>900</v>
      </c>
      <c r="L14" s="9">
        <f t="shared" si="3"/>
        <v>0.11111111111111116</v>
      </c>
      <c r="M14" s="22">
        <f t="shared" si="4"/>
        <v>160</v>
      </c>
      <c r="N14" s="12">
        <v>0.1</v>
      </c>
      <c r="O14" s="12">
        <f t="shared" si="5"/>
        <v>2</v>
      </c>
      <c r="P14" s="12">
        <f t="shared" si="6"/>
        <v>158</v>
      </c>
      <c r="Q14" s="12">
        <v>6</v>
      </c>
      <c r="R14" s="13">
        <v>6.9</v>
      </c>
      <c r="S14" s="12">
        <f t="shared" si="7"/>
        <v>120</v>
      </c>
      <c r="T14" s="13">
        <f t="shared" si="8"/>
        <v>138</v>
      </c>
      <c r="U14" s="12">
        <f t="shared" si="9"/>
        <v>38</v>
      </c>
      <c r="V14" s="13">
        <f t="shared" si="10"/>
        <v>20</v>
      </c>
      <c r="W14" s="14">
        <f t="shared" si="11"/>
        <v>0.23749999999999999</v>
      </c>
      <c r="X14" s="15">
        <f t="shared" si="12"/>
        <v>0.125</v>
      </c>
    </row>
    <row r="15" spans="1:24" s="16" customFormat="1" x14ac:dyDescent="0.45">
      <c r="A15" s="39">
        <v>7</v>
      </c>
      <c r="B15" s="39" t="s">
        <v>33</v>
      </c>
      <c r="C15" s="7"/>
      <c r="D15" s="41" t="s">
        <v>22</v>
      </c>
      <c r="E15" s="42" t="s">
        <v>27</v>
      </c>
      <c r="F15" s="19">
        <v>20</v>
      </c>
      <c r="G15" s="17">
        <v>10</v>
      </c>
      <c r="H15" s="8">
        <f t="shared" si="0"/>
        <v>9.0894308943089435</v>
      </c>
      <c r="I15" s="9">
        <f t="shared" si="1"/>
        <v>0.10017889087656529</v>
      </c>
      <c r="J15" s="10">
        <f t="shared" si="2"/>
        <v>1250</v>
      </c>
      <c r="K15" s="21">
        <v>1118</v>
      </c>
      <c r="L15" s="9">
        <f t="shared" si="3"/>
        <v>0.11806797853309492</v>
      </c>
      <c r="M15" s="22">
        <f t="shared" si="4"/>
        <v>200</v>
      </c>
      <c r="N15" s="12">
        <v>0.1</v>
      </c>
      <c r="O15" s="12">
        <f t="shared" si="5"/>
        <v>2</v>
      </c>
      <c r="P15" s="12">
        <f t="shared" si="6"/>
        <v>198</v>
      </c>
      <c r="Q15" s="12">
        <v>8</v>
      </c>
      <c r="R15" s="13">
        <v>7.5</v>
      </c>
      <c r="S15" s="12">
        <f t="shared" si="7"/>
        <v>160</v>
      </c>
      <c r="T15" s="13">
        <f t="shared" si="8"/>
        <v>150</v>
      </c>
      <c r="U15" s="12">
        <f t="shared" si="9"/>
        <v>38</v>
      </c>
      <c r="V15" s="13">
        <f t="shared" si="10"/>
        <v>48</v>
      </c>
      <c r="W15" s="14">
        <f t="shared" si="11"/>
        <v>0.19</v>
      </c>
      <c r="X15" s="15">
        <f t="shared" si="12"/>
        <v>0.24</v>
      </c>
    </row>
    <row r="16" spans="1:24" s="16" customFormat="1" ht="14.65" thickBot="1" x14ac:dyDescent="0.5">
      <c r="E16" s="23"/>
      <c r="H16" s="24"/>
      <c r="I16" s="14"/>
      <c r="J16" s="25"/>
      <c r="K16" s="25"/>
      <c r="L16" s="14"/>
      <c r="M16" s="26">
        <f>SUM(M9:M15)</f>
        <v>986</v>
      </c>
      <c r="N16" s="12"/>
      <c r="O16" s="12"/>
      <c r="P16" s="12"/>
      <c r="Q16" s="12"/>
      <c r="R16" s="13"/>
      <c r="S16" s="12"/>
      <c r="T16" s="26">
        <f>SUM(T9:T15)</f>
        <v>729.08</v>
      </c>
      <c r="U16" s="12"/>
      <c r="V16" s="26">
        <f>SUM(V9:V15)</f>
        <v>247.12</v>
      </c>
      <c r="W16" s="14"/>
      <c r="X16" s="15">
        <f t="shared" si="12"/>
        <v>0.25062880324543613</v>
      </c>
    </row>
    <row r="17" spans="4:8" ht="14.65" thickTop="1" x14ac:dyDescent="0.45"/>
    <row r="18" spans="4:8" x14ac:dyDescent="0.45">
      <c r="D18" s="27" t="s">
        <v>40</v>
      </c>
    </row>
    <row r="19" spans="4:8" x14ac:dyDescent="0.45">
      <c r="D19" s="28" t="s">
        <v>37</v>
      </c>
      <c r="E19" s="34" t="s">
        <v>38</v>
      </c>
      <c r="F19" s="34" t="s">
        <v>39</v>
      </c>
      <c r="G19" s="34" t="s">
        <v>18</v>
      </c>
      <c r="H19" s="34" t="s">
        <v>20</v>
      </c>
    </row>
    <row r="20" spans="4:8" x14ac:dyDescent="0.45">
      <c r="D20" s="17" t="s">
        <v>26</v>
      </c>
      <c r="E20" s="30">
        <f>SUMIFS($M$9:$M$15,$D$9:$D$15,D20)</f>
        <v>160</v>
      </c>
      <c r="F20" s="30">
        <f>SUMIFS($T$9:$T$15,$D$9:$D$15,D20)</f>
        <v>138</v>
      </c>
      <c r="G20" s="31">
        <f>E20-F20</f>
        <v>22</v>
      </c>
      <c r="H20" s="32">
        <f>G20/E20</f>
        <v>0.13750000000000001</v>
      </c>
    </row>
    <row r="21" spans="4:8" x14ac:dyDescent="0.45">
      <c r="D21" s="17" t="s">
        <v>22</v>
      </c>
      <c r="E21" s="30">
        <f>SUMIFS($M$9:$M$15,$D$9:$D$15,D21)</f>
        <v>826</v>
      </c>
      <c r="F21" s="30">
        <f>SUMIFS($T$9:$T$15,$D$9:$D$15,D21)</f>
        <v>591.08000000000004</v>
      </c>
      <c r="G21" s="31">
        <f>E21-F21</f>
        <v>234.91999999999996</v>
      </c>
      <c r="H21" s="32">
        <f>G21/E21</f>
        <v>0.28440677966101691</v>
      </c>
    </row>
    <row r="22" spans="4:8" x14ac:dyDescent="0.45">
      <c r="D22" s="29" t="s">
        <v>46</v>
      </c>
      <c r="E22" s="33">
        <f>SUM(E20:E21)</f>
        <v>986</v>
      </c>
      <c r="F22" s="33">
        <f>SUM(F20:F21)</f>
        <v>729.08</v>
      </c>
      <c r="G22" s="33">
        <f>SUM(G20:G21)</f>
        <v>256.91999999999996</v>
      </c>
      <c r="H22" s="32">
        <f>G22/E22</f>
        <v>0.26056795131845839</v>
      </c>
    </row>
  </sheetData>
  <mergeCells count="1">
    <mergeCell ref="A1:T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Budget &amp; Contribution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2026-10-06T17:57:17Z</dcterms:created>
  <dcterms:modified xsi:type="dcterms:W3CDTF">2026-10-07T06:48:44Z</dcterms:modified>
</cp:coreProperties>
</file>